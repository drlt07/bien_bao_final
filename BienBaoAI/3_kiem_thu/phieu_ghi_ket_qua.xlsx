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hop dieu kien" sheetId="1" state="visible" r:id="rId1"/>
    <sheet xmlns:r="http://schemas.openxmlformats.org/officeDocument/2006/relationships" name="Ghi tung lan" sheetId="2" state="visible" r:id="rId2"/>
    <sheet xmlns:r="http://schemas.openxmlformats.org/officeDocument/2006/relationships" name="Thiet bi" sheetId="3" state="visible" r:id="rId3"/>
    <sheet xmlns:r="http://schemas.openxmlformats.org/officeDocument/2006/relationships" name="Tinh F1"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3"/>
    </font>
    <font>
      <i val="1"/>
      <color rgb="007F7F7F"/>
    </font>
    <font>
      <b val="1"/>
      <color rgb="00FFFFFF"/>
    </font>
    <font>
      <b val="1"/>
    </font>
    <font>
      <i val="1"/>
      <color rgb="00595959"/>
    </font>
  </fonts>
  <fills count="4">
    <fill>
      <patternFill/>
    </fill>
    <fill>
      <patternFill patternType="gray125"/>
    </fill>
    <fill>
      <patternFill patternType="solid">
        <fgColor rgb="001F3864"/>
      </patternFill>
    </fill>
    <fill>
      <patternFill patternType="solid">
        <fgColor rgb="00FFF9E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0" fillId="3" borderId="1" pivotButton="0" quotePrefix="0" xfId="0"/>
    <xf numFmtId="0" fontId="4" fillId="0" borderId="1" pivotButton="0" quotePrefix="0" xfId="0"/>
    <xf numFmtId="164" fontId="0" fillId="3" borderId="1" pivotButton="0" quotePrefix="0" xfId="0"/>
    <xf numFmtId="0" fontId="5" fillId="0" borderId="0" pivotButton="0" quotePrefix="0" xfId="0"/>
    <xf numFmtId="2" fontId="0" fillId="0"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 customWidth="1" min="1" max="1"/>
    <col width="34" customWidth="1" min="2" max="2"/>
    <col width="12" customWidth="1" min="3" max="3"/>
    <col width="12" customWidth="1" min="4" max="4"/>
    <col width="14" customWidth="1" min="5" max="5"/>
    <col width="16" customWidth="1" min="6" max="6"/>
    <col width="40" customWidth="1" min="7" max="7"/>
  </cols>
  <sheetData>
    <row r="1">
      <c r="A1" s="1" t="inlineStr">
        <is>
          <t>KẾT QUẢ THỬ ỨNG DỤNG THEO ĐIỀU KIỆN CHỤP (Bảng 14)</t>
        </is>
      </c>
    </row>
    <row r="2">
      <c r="A2" s="2" t="inlineStr">
        <is>
          <t>Ô màu vàng: nhóm điền. Số lần thử / đúng / thời gian tự lấy từ sheet "Ghi tung lan".</t>
        </is>
      </c>
    </row>
    <row r="4" ht="32" customHeight="1">
      <c r="A4" s="3" t="inlineStr">
        <is>
          <t>STT</t>
        </is>
      </c>
      <c r="B4" s="3" t="inlineStr">
        <is>
          <t>Điều kiện</t>
        </is>
      </c>
      <c r="C4" s="3" t="inlineStr">
        <is>
          <t>Số lần thử</t>
        </is>
      </c>
      <c r="D4" s="3" t="inlineStr">
        <is>
          <t>Số lần đúng</t>
        </is>
      </c>
      <c r="E4" s="3" t="inlineStr">
        <is>
          <t>Tỷ lệ đúng (%)</t>
        </is>
      </c>
      <c r="F4" s="3" t="inlineStr">
        <is>
          <t>Thời gian TB (ms)</t>
        </is>
      </c>
      <c r="G4" s="3" t="inlineStr">
        <is>
          <t>Nhận xét</t>
        </is>
      </c>
    </row>
    <row r="5">
      <c r="A5" s="4" t="n">
        <v>1</v>
      </c>
      <c r="B5" s="4" t="inlineStr">
        <is>
          <t>Ban ngày, đủ sáng, chụp chính diện</t>
        </is>
      </c>
      <c r="C5" s="4">
        <f>COUNTIF('Ghi tung lan'!$C:$C,B5)</f>
        <v/>
      </c>
      <c r="D5" s="4">
        <f>COUNTIFS('Ghi tung lan'!$C:$C,B5,'Ghi tung lan'!$G:$G,1)</f>
        <v/>
      </c>
      <c r="E5" s="5">
        <f>IF(C5&gt;0,D5/C5*100,"")</f>
        <v/>
      </c>
      <c r="F5" s="5">
        <f>IFERROR(AVERAGEIF('Ghi tung lan'!$C:$C,B5,'Ghi tung lan'!$I:$I),"")</f>
        <v/>
      </c>
      <c r="G5" s="6" t="n"/>
    </row>
    <row r="6">
      <c r="A6" s="4" t="n">
        <v>2</v>
      </c>
      <c r="B6" s="4" t="inlineStr">
        <is>
          <t>Trời râm, âm u</t>
        </is>
      </c>
      <c r="C6" s="4">
        <f>COUNTIF('Ghi tung lan'!$C:$C,B6)</f>
        <v/>
      </c>
      <c r="D6" s="4">
        <f>COUNTIFS('Ghi tung lan'!$C:$C,B6,'Ghi tung lan'!$G:$G,1)</f>
        <v/>
      </c>
      <c r="E6" s="5">
        <f>IF(C6&gt;0,D6/C6*100,"")</f>
        <v/>
      </c>
      <c r="F6" s="5">
        <f>IFERROR(AVERAGEIF('Ghi tung lan'!$C:$C,B6,'Ghi tung lan'!$I:$I),"")</f>
        <v/>
      </c>
      <c r="G6" s="6" t="n"/>
    </row>
    <row r="7">
      <c r="A7" s="4" t="n">
        <v>3</v>
      </c>
      <c r="B7" s="4" t="inlineStr">
        <is>
          <t>Chiều tối, có đèn đường</t>
        </is>
      </c>
      <c r="C7" s="4">
        <f>COUNTIF('Ghi tung lan'!$C:$C,B7)</f>
        <v/>
      </c>
      <c r="D7" s="4">
        <f>COUNTIFS('Ghi tung lan'!$C:$C,B7,'Ghi tung lan'!$G:$G,1)</f>
        <v/>
      </c>
      <c r="E7" s="5">
        <f>IF(C7&gt;0,D7/C7*100,"")</f>
        <v/>
      </c>
      <c r="F7" s="5">
        <f>IFERROR(AVERAGEIF('Ghi tung lan'!$C:$C,B7,'Ghi tung lan'!$I:$I),"")</f>
        <v/>
      </c>
      <c r="G7" s="6" t="n"/>
    </row>
    <row r="8">
      <c r="A8" s="4" t="n">
        <v>4</v>
      </c>
      <c r="B8" s="4" t="inlineStr">
        <is>
          <t>Góc nghiêng khoảng 30°</t>
        </is>
      </c>
      <c r="C8" s="4">
        <f>COUNTIF('Ghi tung lan'!$C:$C,B8)</f>
        <v/>
      </c>
      <c r="D8" s="4">
        <f>COUNTIFS('Ghi tung lan'!$C:$C,B8,'Ghi tung lan'!$G:$G,1)</f>
        <v/>
      </c>
      <c r="E8" s="5">
        <f>IF(C8&gt;0,D8/C8*100,"")</f>
        <v/>
      </c>
      <c r="F8" s="5">
        <f>IFERROR(AVERAGEIF('Ghi tung lan'!$C:$C,B8,'Ghi tung lan'!$I:$I),"")</f>
        <v/>
      </c>
      <c r="G8" s="6" t="n"/>
    </row>
    <row r="9">
      <c r="A9" s="4" t="n">
        <v>5</v>
      </c>
      <c r="B9" s="4" t="inlineStr">
        <is>
          <t>Khoảng cách 10 – 15 m</t>
        </is>
      </c>
      <c r="C9" s="4">
        <f>COUNTIF('Ghi tung lan'!$C:$C,B9)</f>
        <v/>
      </c>
      <c r="D9" s="4">
        <f>COUNTIFS('Ghi tung lan'!$C:$C,B9,'Ghi tung lan'!$G:$G,1)</f>
        <v/>
      </c>
      <c r="E9" s="5">
        <f>IF(C9&gt;0,D9/C9*100,"")</f>
        <v/>
      </c>
      <c r="F9" s="5">
        <f>IFERROR(AVERAGEIF('Ghi tung lan'!$C:$C,B9,'Ghi tung lan'!$I:$I),"")</f>
        <v/>
      </c>
      <c r="G9" s="6" t="n"/>
    </row>
    <row r="10">
      <c r="A10" s="4" t="n">
        <v>6</v>
      </c>
      <c r="B10" s="4" t="inlineStr">
        <is>
          <t>Ảnh chọn từ thư viện</t>
        </is>
      </c>
      <c r="C10" s="4">
        <f>COUNTIF('Ghi tung lan'!$C:$C,B10)</f>
        <v/>
      </c>
      <c r="D10" s="4">
        <f>COUNTIFS('Ghi tung lan'!$C:$C,B10,'Ghi tung lan'!$G:$G,1)</f>
        <v/>
      </c>
      <c r="E10" s="5">
        <f>IF(C10&gt;0,D10/C10*100,"")</f>
        <v/>
      </c>
      <c r="F10" s="5">
        <f>IFERROR(AVERAGEIF('Ghi tung lan'!$C:$C,B10,'Ghi tung lan'!$I:$I),"")</f>
        <v/>
      </c>
      <c r="G10" s="6" t="n"/>
    </row>
    <row r="11">
      <c r="B11" s="7" t="inlineStr">
        <is>
          <t>Tổng</t>
        </is>
      </c>
      <c r="C11" s="4">
        <f>SUM(C5:C10)</f>
        <v/>
      </c>
      <c r="D11" s="4">
        <f>SUM(D5:D10)</f>
        <v/>
      </c>
      <c r="E11" s="5">
        <f>IF(C11&gt;0,D11/C11*100,"")</f>
        <v/>
      </c>
      <c r="F11" s="5">
        <f>IFERROR(AVERAGE('Ghi tung lan'!I:I),"")</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22" customWidth="1" min="4" max="4"/>
    <col width="14" customWidth="1" min="5" max="5"/>
    <col width="16" customWidth="1" min="6" max="6"/>
    <col width="11" customWidth="1" min="7" max="7"/>
    <col width="13" customWidth="1" min="8" max="8"/>
    <col width="13" customWidth="1" min="9" max="9"/>
    <col width="13" customWidth="1" min="10" max="10"/>
    <col width="30" customWidth="1" min="11" max="11"/>
  </cols>
  <sheetData>
    <row r="1" ht="32" customHeight="1">
      <c r="A1" s="3" t="inlineStr">
        <is>
          <t>STT</t>
        </is>
      </c>
      <c r="B1" s="3" t="inlineStr">
        <is>
          <t>Ngày</t>
        </is>
      </c>
      <c r="C1" s="3" t="inlineStr">
        <is>
          <t>Điều kiện</t>
        </is>
      </c>
      <c r="D1" s="3" t="inlineStr">
        <is>
          <t>Thiết bị</t>
        </is>
      </c>
      <c r="E1" s="3" t="inlineStr">
        <is>
          <t>Biển thật (nhãn)</t>
        </is>
      </c>
      <c r="F1" s="3" t="inlineStr">
        <is>
          <t>App dự đoán (nhãn)</t>
        </is>
      </c>
      <c r="G1" s="3" t="inlineStr">
        <is>
          <t>Đúng (1/0)</t>
        </is>
      </c>
      <c r="H1" s="3" t="inlineStr">
        <is>
          <t>Độ tin cậy (%)</t>
        </is>
      </c>
      <c r="I1" s="3" t="inlineStr">
        <is>
          <t>Thời gian (ms)</t>
        </is>
      </c>
      <c r="J1" s="3" t="inlineStr">
        <is>
          <t>Chế độ máy bay</t>
        </is>
      </c>
      <c r="K1" s="3" t="inlineStr">
        <is>
          <t>Ghi chú</t>
        </is>
      </c>
    </row>
    <row r="2">
      <c r="A2" s="4" t="n">
        <v>1</v>
      </c>
      <c r="B2" s="6" t="n"/>
      <c r="C2" s="6" t="n"/>
      <c r="D2" s="6" t="n"/>
      <c r="E2" s="6" t="n"/>
      <c r="F2" s="6" t="n"/>
      <c r="G2" s="4">
        <f>IF(OR(E2="",F2=""),"",IF(E2=F2,1,0))</f>
        <v/>
      </c>
      <c r="H2" s="6" t="n"/>
      <c r="I2" s="6" t="n"/>
      <c r="J2" s="6" t="n"/>
      <c r="K2" s="6" t="n"/>
    </row>
    <row r="3">
      <c r="A3" s="4" t="n">
        <v>2</v>
      </c>
      <c r="B3" s="6" t="n"/>
      <c r="C3" s="6" t="n"/>
      <c r="D3" s="6" t="n"/>
      <c r="E3" s="6" t="n"/>
      <c r="F3" s="6" t="n"/>
      <c r="G3" s="4">
        <f>IF(OR(E3="",F3=""),"",IF(E3=F3,1,0))</f>
        <v/>
      </c>
      <c r="H3" s="6" t="n"/>
      <c r="I3" s="6" t="n"/>
      <c r="J3" s="6" t="n"/>
      <c r="K3" s="6" t="n"/>
    </row>
    <row r="4">
      <c r="A4" s="4" t="n">
        <v>3</v>
      </c>
      <c r="B4" s="6" t="n"/>
      <c r="C4" s="6" t="n"/>
      <c r="D4" s="6" t="n"/>
      <c r="E4" s="6" t="n"/>
      <c r="F4" s="6" t="n"/>
      <c r="G4" s="4">
        <f>IF(OR(E4="",F4=""),"",IF(E4=F4,1,0))</f>
        <v/>
      </c>
      <c r="H4" s="6" t="n"/>
      <c r="I4" s="6" t="n"/>
      <c r="J4" s="6" t="n"/>
      <c r="K4" s="6" t="n"/>
    </row>
    <row r="5">
      <c r="A5" s="4" t="n">
        <v>4</v>
      </c>
      <c r="B5" s="6" t="n"/>
      <c r="C5" s="6" t="n"/>
      <c r="D5" s="6" t="n"/>
      <c r="E5" s="6" t="n"/>
      <c r="F5" s="6" t="n"/>
      <c r="G5" s="4">
        <f>IF(OR(E5="",F5=""),"",IF(E5=F5,1,0))</f>
        <v/>
      </c>
      <c r="H5" s="6" t="n"/>
      <c r="I5" s="6" t="n"/>
      <c r="J5" s="6" t="n"/>
      <c r="K5" s="6" t="n"/>
    </row>
    <row r="6">
      <c r="A6" s="4" t="n">
        <v>5</v>
      </c>
      <c r="B6" s="6" t="n"/>
      <c r="C6" s="6" t="n"/>
      <c r="D6" s="6" t="n"/>
      <c r="E6" s="6" t="n"/>
      <c r="F6" s="6" t="n"/>
      <c r="G6" s="4">
        <f>IF(OR(E6="",F6=""),"",IF(E6=F6,1,0))</f>
        <v/>
      </c>
      <c r="H6" s="6" t="n"/>
      <c r="I6" s="6" t="n"/>
      <c r="J6" s="6" t="n"/>
      <c r="K6" s="6" t="n"/>
    </row>
    <row r="7">
      <c r="A7" s="4" t="n">
        <v>6</v>
      </c>
      <c r="B7" s="6" t="n"/>
      <c r="C7" s="6" t="n"/>
      <c r="D7" s="6" t="n"/>
      <c r="E7" s="6" t="n"/>
      <c r="F7" s="6" t="n"/>
      <c r="G7" s="4">
        <f>IF(OR(E7="",F7=""),"",IF(E7=F7,1,0))</f>
        <v/>
      </c>
      <c r="H7" s="6" t="n"/>
      <c r="I7" s="6" t="n"/>
      <c r="J7" s="6" t="n"/>
      <c r="K7" s="6" t="n"/>
    </row>
    <row r="8">
      <c r="A8" s="4" t="n">
        <v>7</v>
      </c>
      <c r="B8" s="6" t="n"/>
      <c r="C8" s="6" t="n"/>
      <c r="D8" s="6" t="n"/>
      <c r="E8" s="6" t="n"/>
      <c r="F8" s="6" t="n"/>
      <c r="G8" s="4">
        <f>IF(OR(E8="",F8=""),"",IF(E8=F8,1,0))</f>
        <v/>
      </c>
      <c r="H8" s="6" t="n"/>
      <c r="I8" s="6" t="n"/>
      <c r="J8" s="6" t="n"/>
      <c r="K8" s="6" t="n"/>
    </row>
    <row r="9">
      <c r="A9" s="4" t="n">
        <v>8</v>
      </c>
      <c r="B9" s="6" t="n"/>
      <c r="C9" s="6" t="n"/>
      <c r="D9" s="6" t="n"/>
      <c r="E9" s="6" t="n"/>
      <c r="F9" s="6" t="n"/>
      <c r="G9" s="4">
        <f>IF(OR(E9="",F9=""),"",IF(E9=F9,1,0))</f>
        <v/>
      </c>
      <c r="H9" s="6" t="n"/>
      <c r="I9" s="6" t="n"/>
      <c r="J9" s="6" t="n"/>
      <c r="K9" s="6" t="n"/>
    </row>
    <row r="10">
      <c r="A10" s="4" t="n">
        <v>9</v>
      </c>
      <c r="B10" s="6" t="n"/>
      <c r="C10" s="6" t="n"/>
      <c r="D10" s="6" t="n"/>
      <c r="E10" s="6" t="n"/>
      <c r="F10" s="6" t="n"/>
      <c r="G10" s="4">
        <f>IF(OR(E10="",F10=""),"",IF(E10=F10,1,0))</f>
        <v/>
      </c>
      <c r="H10" s="6" t="n"/>
      <c r="I10" s="6" t="n"/>
      <c r="J10" s="6" t="n"/>
      <c r="K10" s="6" t="n"/>
    </row>
    <row r="11">
      <c r="A11" s="4" t="n">
        <v>10</v>
      </c>
      <c r="B11" s="6" t="n"/>
      <c r="C11" s="6" t="n"/>
      <c r="D11" s="6" t="n"/>
      <c r="E11" s="6" t="n"/>
      <c r="F11" s="6" t="n"/>
      <c r="G11" s="4">
        <f>IF(OR(E11="",F11=""),"",IF(E11=F11,1,0))</f>
        <v/>
      </c>
      <c r="H11" s="6" t="n"/>
      <c r="I11" s="6" t="n"/>
      <c r="J11" s="6" t="n"/>
      <c r="K11" s="6" t="n"/>
    </row>
    <row r="12">
      <c r="A12" s="4" t="n">
        <v>11</v>
      </c>
      <c r="B12" s="6" t="n"/>
      <c r="C12" s="6" t="n"/>
      <c r="D12" s="6" t="n"/>
      <c r="E12" s="6" t="n"/>
      <c r="F12" s="6" t="n"/>
      <c r="G12" s="4">
        <f>IF(OR(E12="",F12=""),"",IF(E12=F12,1,0))</f>
        <v/>
      </c>
      <c r="H12" s="6" t="n"/>
      <c r="I12" s="6" t="n"/>
      <c r="J12" s="6" t="n"/>
      <c r="K12" s="6" t="n"/>
    </row>
    <row r="13">
      <c r="A13" s="4" t="n">
        <v>12</v>
      </c>
      <c r="B13" s="6" t="n"/>
      <c r="C13" s="6" t="n"/>
      <c r="D13" s="6" t="n"/>
      <c r="E13" s="6" t="n"/>
      <c r="F13" s="6" t="n"/>
      <c r="G13" s="4">
        <f>IF(OR(E13="",F13=""),"",IF(E13=F13,1,0))</f>
        <v/>
      </c>
      <c r="H13" s="6" t="n"/>
      <c r="I13" s="6" t="n"/>
      <c r="J13" s="6" t="n"/>
      <c r="K13" s="6" t="n"/>
    </row>
    <row r="14">
      <c r="A14" s="4" t="n">
        <v>13</v>
      </c>
      <c r="B14" s="6" t="n"/>
      <c r="C14" s="6" t="n"/>
      <c r="D14" s="6" t="n"/>
      <c r="E14" s="6" t="n"/>
      <c r="F14" s="6" t="n"/>
      <c r="G14" s="4">
        <f>IF(OR(E14="",F14=""),"",IF(E14=F14,1,0))</f>
        <v/>
      </c>
      <c r="H14" s="6" t="n"/>
      <c r="I14" s="6" t="n"/>
      <c r="J14" s="6" t="n"/>
      <c r="K14" s="6" t="n"/>
    </row>
    <row r="15">
      <c r="A15" s="4" t="n">
        <v>14</v>
      </c>
      <c r="B15" s="6" t="n"/>
      <c r="C15" s="6" t="n"/>
      <c r="D15" s="6" t="n"/>
      <c r="E15" s="6" t="n"/>
      <c r="F15" s="6" t="n"/>
      <c r="G15" s="4">
        <f>IF(OR(E15="",F15=""),"",IF(E15=F15,1,0))</f>
        <v/>
      </c>
      <c r="H15" s="6" t="n"/>
      <c r="I15" s="6" t="n"/>
      <c r="J15" s="6" t="n"/>
      <c r="K15" s="6" t="n"/>
    </row>
    <row r="16">
      <c r="A16" s="4" t="n">
        <v>15</v>
      </c>
      <c r="B16" s="6" t="n"/>
      <c r="C16" s="6" t="n"/>
      <c r="D16" s="6" t="n"/>
      <c r="E16" s="6" t="n"/>
      <c r="F16" s="6" t="n"/>
      <c r="G16" s="4">
        <f>IF(OR(E16="",F16=""),"",IF(E16=F16,1,0))</f>
        <v/>
      </c>
      <c r="H16" s="6" t="n"/>
      <c r="I16" s="6" t="n"/>
      <c r="J16" s="6" t="n"/>
      <c r="K16" s="6" t="n"/>
    </row>
    <row r="17">
      <c r="A17" s="4" t="n">
        <v>16</v>
      </c>
      <c r="B17" s="6" t="n"/>
      <c r="C17" s="6" t="n"/>
      <c r="D17" s="6" t="n"/>
      <c r="E17" s="6" t="n"/>
      <c r="F17" s="6" t="n"/>
      <c r="G17" s="4">
        <f>IF(OR(E17="",F17=""),"",IF(E17=F17,1,0))</f>
        <v/>
      </c>
      <c r="H17" s="6" t="n"/>
      <c r="I17" s="6" t="n"/>
      <c r="J17" s="6" t="n"/>
      <c r="K17" s="6" t="n"/>
    </row>
    <row r="18">
      <c r="A18" s="4" t="n">
        <v>17</v>
      </c>
      <c r="B18" s="6" t="n"/>
      <c r="C18" s="6" t="n"/>
      <c r="D18" s="6" t="n"/>
      <c r="E18" s="6" t="n"/>
      <c r="F18" s="6" t="n"/>
      <c r="G18" s="4">
        <f>IF(OR(E18="",F18=""),"",IF(E18=F18,1,0))</f>
        <v/>
      </c>
      <c r="H18" s="6" t="n"/>
      <c r="I18" s="6" t="n"/>
      <c r="J18" s="6" t="n"/>
      <c r="K18" s="6" t="n"/>
    </row>
    <row r="19">
      <c r="A19" s="4" t="n">
        <v>18</v>
      </c>
      <c r="B19" s="6" t="n"/>
      <c r="C19" s="6" t="n"/>
      <c r="D19" s="6" t="n"/>
      <c r="E19" s="6" t="n"/>
      <c r="F19" s="6" t="n"/>
      <c r="G19" s="4">
        <f>IF(OR(E19="",F19=""),"",IF(E19=F19,1,0))</f>
        <v/>
      </c>
      <c r="H19" s="6" t="n"/>
      <c r="I19" s="6" t="n"/>
      <c r="J19" s="6" t="n"/>
      <c r="K19" s="6" t="n"/>
    </row>
    <row r="20">
      <c r="A20" s="4" t="n">
        <v>19</v>
      </c>
      <c r="B20" s="6" t="n"/>
      <c r="C20" s="6" t="n"/>
      <c r="D20" s="6" t="n"/>
      <c r="E20" s="6" t="n"/>
      <c r="F20" s="6" t="n"/>
      <c r="G20" s="4">
        <f>IF(OR(E20="",F20=""),"",IF(E20=F20,1,0))</f>
        <v/>
      </c>
      <c r="H20" s="6" t="n"/>
      <c r="I20" s="6" t="n"/>
      <c r="J20" s="6" t="n"/>
      <c r="K20" s="6" t="n"/>
    </row>
    <row r="21">
      <c r="A21" s="4" t="n">
        <v>20</v>
      </c>
      <c r="B21" s="6" t="n"/>
      <c r="C21" s="6" t="n"/>
      <c r="D21" s="6" t="n"/>
      <c r="E21" s="6" t="n"/>
      <c r="F21" s="6" t="n"/>
      <c r="G21" s="4">
        <f>IF(OR(E21="",F21=""),"",IF(E21=F21,1,0))</f>
        <v/>
      </c>
      <c r="H21" s="6" t="n"/>
      <c r="I21" s="6" t="n"/>
      <c r="J21" s="6" t="n"/>
      <c r="K21" s="6" t="n"/>
    </row>
    <row r="22">
      <c r="A22" s="4" t="n">
        <v>21</v>
      </c>
      <c r="B22" s="6" t="n"/>
      <c r="C22" s="6" t="n"/>
      <c r="D22" s="6" t="n"/>
      <c r="E22" s="6" t="n"/>
      <c r="F22" s="6" t="n"/>
      <c r="G22" s="4">
        <f>IF(OR(E22="",F22=""),"",IF(E22=F22,1,0))</f>
        <v/>
      </c>
      <c r="H22" s="6" t="n"/>
      <c r="I22" s="6" t="n"/>
      <c r="J22" s="6" t="n"/>
      <c r="K22" s="6" t="n"/>
    </row>
    <row r="23">
      <c r="A23" s="4" t="n">
        <v>22</v>
      </c>
      <c r="B23" s="6" t="n"/>
      <c r="C23" s="6" t="n"/>
      <c r="D23" s="6" t="n"/>
      <c r="E23" s="6" t="n"/>
      <c r="F23" s="6" t="n"/>
      <c r="G23" s="4">
        <f>IF(OR(E23="",F23=""),"",IF(E23=F23,1,0))</f>
        <v/>
      </c>
      <c r="H23" s="6" t="n"/>
      <c r="I23" s="6" t="n"/>
      <c r="J23" s="6" t="n"/>
      <c r="K23" s="6" t="n"/>
    </row>
    <row r="24">
      <c r="A24" s="4" t="n">
        <v>23</v>
      </c>
      <c r="B24" s="6" t="n"/>
      <c r="C24" s="6" t="n"/>
      <c r="D24" s="6" t="n"/>
      <c r="E24" s="6" t="n"/>
      <c r="F24" s="6" t="n"/>
      <c r="G24" s="4">
        <f>IF(OR(E24="",F24=""),"",IF(E24=F24,1,0))</f>
        <v/>
      </c>
      <c r="H24" s="6" t="n"/>
      <c r="I24" s="6" t="n"/>
      <c r="J24" s="6" t="n"/>
      <c r="K24" s="6" t="n"/>
    </row>
    <row r="25">
      <c r="A25" s="4" t="n">
        <v>24</v>
      </c>
      <c r="B25" s="6" t="n"/>
      <c r="C25" s="6" t="n"/>
      <c r="D25" s="6" t="n"/>
      <c r="E25" s="6" t="n"/>
      <c r="F25" s="6" t="n"/>
      <c r="G25" s="4">
        <f>IF(OR(E25="",F25=""),"",IF(E25=F25,1,0))</f>
        <v/>
      </c>
      <c r="H25" s="6" t="n"/>
      <c r="I25" s="6" t="n"/>
      <c r="J25" s="6" t="n"/>
      <c r="K25" s="6" t="n"/>
    </row>
    <row r="26">
      <c r="A26" s="4" t="n">
        <v>25</v>
      </c>
      <c r="B26" s="6" t="n"/>
      <c r="C26" s="6" t="n"/>
      <c r="D26" s="6" t="n"/>
      <c r="E26" s="6" t="n"/>
      <c r="F26" s="6" t="n"/>
      <c r="G26" s="4">
        <f>IF(OR(E26="",F26=""),"",IF(E26=F26,1,0))</f>
        <v/>
      </c>
      <c r="H26" s="6" t="n"/>
      <c r="I26" s="6" t="n"/>
      <c r="J26" s="6" t="n"/>
      <c r="K26" s="6" t="n"/>
    </row>
    <row r="27">
      <c r="A27" s="4" t="n">
        <v>26</v>
      </c>
      <c r="B27" s="6" t="n"/>
      <c r="C27" s="6" t="n"/>
      <c r="D27" s="6" t="n"/>
      <c r="E27" s="6" t="n"/>
      <c r="F27" s="6" t="n"/>
      <c r="G27" s="4">
        <f>IF(OR(E27="",F27=""),"",IF(E27=F27,1,0))</f>
        <v/>
      </c>
      <c r="H27" s="6" t="n"/>
      <c r="I27" s="6" t="n"/>
      <c r="J27" s="6" t="n"/>
      <c r="K27" s="6" t="n"/>
    </row>
    <row r="28">
      <c r="A28" s="4" t="n">
        <v>27</v>
      </c>
      <c r="B28" s="6" t="n"/>
      <c r="C28" s="6" t="n"/>
      <c r="D28" s="6" t="n"/>
      <c r="E28" s="6" t="n"/>
      <c r="F28" s="6" t="n"/>
      <c r="G28" s="4">
        <f>IF(OR(E28="",F28=""),"",IF(E28=F28,1,0))</f>
        <v/>
      </c>
      <c r="H28" s="6" t="n"/>
      <c r="I28" s="6" t="n"/>
      <c r="J28" s="6" t="n"/>
      <c r="K28" s="6" t="n"/>
    </row>
    <row r="29">
      <c r="A29" s="4" t="n">
        <v>28</v>
      </c>
      <c r="B29" s="6" t="n"/>
      <c r="C29" s="6" t="n"/>
      <c r="D29" s="6" t="n"/>
      <c r="E29" s="6" t="n"/>
      <c r="F29" s="6" t="n"/>
      <c r="G29" s="4">
        <f>IF(OR(E29="",F29=""),"",IF(E29=F29,1,0))</f>
        <v/>
      </c>
      <c r="H29" s="6" t="n"/>
      <c r="I29" s="6" t="n"/>
      <c r="J29" s="6" t="n"/>
      <c r="K29" s="6" t="n"/>
    </row>
    <row r="30">
      <c r="A30" s="4" t="n">
        <v>29</v>
      </c>
      <c r="B30" s="6" t="n"/>
      <c r="C30" s="6" t="n"/>
      <c r="D30" s="6" t="n"/>
      <c r="E30" s="6" t="n"/>
      <c r="F30" s="6" t="n"/>
      <c r="G30" s="4">
        <f>IF(OR(E30="",F30=""),"",IF(E30=F30,1,0))</f>
        <v/>
      </c>
      <c r="H30" s="6" t="n"/>
      <c r="I30" s="6" t="n"/>
      <c r="J30" s="6" t="n"/>
      <c r="K30" s="6" t="n"/>
    </row>
    <row r="31">
      <c r="A31" s="4" t="n">
        <v>30</v>
      </c>
      <c r="B31" s="6" t="n"/>
      <c r="C31" s="6" t="n"/>
      <c r="D31" s="6" t="n"/>
      <c r="E31" s="6" t="n"/>
      <c r="F31" s="6" t="n"/>
      <c r="G31" s="4">
        <f>IF(OR(E31="",F31=""),"",IF(E31=F31,1,0))</f>
        <v/>
      </c>
      <c r="H31" s="6" t="n"/>
      <c r="I31" s="6" t="n"/>
      <c r="J31" s="6" t="n"/>
      <c r="K31" s="6" t="n"/>
    </row>
    <row r="32">
      <c r="A32" s="4" t="n">
        <v>31</v>
      </c>
      <c r="B32" s="6" t="n"/>
      <c r="C32" s="6" t="n"/>
      <c r="D32" s="6" t="n"/>
      <c r="E32" s="6" t="n"/>
      <c r="F32" s="6" t="n"/>
      <c r="G32" s="4">
        <f>IF(OR(E32="",F32=""),"",IF(E32=F32,1,0))</f>
        <v/>
      </c>
      <c r="H32" s="6" t="n"/>
      <c r="I32" s="6" t="n"/>
      <c r="J32" s="6" t="n"/>
      <c r="K32" s="6" t="n"/>
    </row>
    <row r="33">
      <c r="A33" s="4" t="n">
        <v>32</v>
      </c>
      <c r="B33" s="6" t="n"/>
      <c r="C33" s="6" t="n"/>
      <c r="D33" s="6" t="n"/>
      <c r="E33" s="6" t="n"/>
      <c r="F33" s="6" t="n"/>
      <c r="G33" s="4">
        <f>IF(OR(E33="",F33=""),"",IF(E33=F33,1,0))</f>
        <v/>
      </c>
      <c r="H33" s="6" t="n"/>
      <c r="I33" s="6" t="n"/>
      <c r="J33" s="6" t="n"/>
      <c r="K33" s="6" t="n"/>
    </row>
    <row r="34">
      <c r="A34" s="4" t="n">
        <v>33</v>
      </c>
      <c r="B34" s="6" t="n"/>
      <c r="C34" s="6" t="n"/>
      <c r="D34" s="6" t="n"/>
      <c r="E34" s="6" t="n"/>
      <c r="F34" s="6" t="n"/>
      <c r="G34" s="4">
        <f>IF(OR(E34="",F34=""),"",IF(E34=F34,1,0))</f>
        <v/>
      </c>
      <c r="H34" s="6" t="n"/>
      <c r="I34" s="6" t="n"/>
      <c r="J34" s="6" t="n"/>
      <c r="K34" s="6" t="n"/>
    </row>
    <row r="35">
      <c r="A35" s="4" t="n">
        <v>34</v>
      </c>
      <c r="B35" s="6" t="n"/>
      <c r="C35" s="6" t="n"/>
      <c r="D35" s="6" t="n"/>
      <c r="E35" s="6" t="n"/>
      <c r="F35" s="6" t="n"/>
      <c r="G35" s="4">
        <f>IF(OR(E35="",F35=""),"",IF(E35=F35,1,0))</f>
        <v/>
      </c>
      <c r="H35" s="6" t="n"/>
      <c r="I35" s="6" t="n"/>
      <c r="J35" s="6" t="n"/>
      <c r="K35" s="6" t="n"/>
    </row>
    <row r="36">
      <c r="A36" s="4" t="n">
        <v>35</v>
      </c>
      <c r="B36" s="6" t="n"/>
      <c r="C36" s="6" t="n"/>
      <c r="D36" s="6" t="n"/>
      <c r="E36" s="6" t="n"/>
      <c r="F36" s="6" t="n"/>
      <c r="G36" s="4">
        <f>IF(OR(E36="",F36=""),"",IF(E36=F36,1,0))</f>
        <v/>
      </c>
      <c r="H36" s="6" t="n"/>
      <c r="I36" s="6" t="n"/>
      <c r="J36" s="6" t="n"/>
      <c r="K36" s="6" t="n"/>
    </row>
    <row r="37">
      <c r="A37" s="4" t="n">
        <v>36</v>
      </c>
      <c r="B37" s="6" t="n"/>
      <c r="C37" s="6" t="n"/>
      <c r="D37" s="6" t="n"/>
      <c r="E37" s="6" t="n"/>
      <c r="F37" s="6" t="n"/>
      <c r="G37" s="4">
        <f>IF(OR(E37="",F37=""),"",IF(E37=F37,1,0))</f>
        <v/>
      </c>
      <c r="H37" s="6" t="n"/>
      <c r="I37" s="6" t="n"/>
      <c r="J37" s="6" t="n"/>
      <c r="K37" s="6" t="n"/>
    </row>
    <row r="38">
      <c r="A38" s="4" t="n">
        <v>37</v>
      </c>
      <c r="B38" s="6" t="n"/>
      <c r="C38" s="6" t="n"/>
      <c r="D38" s="6" t="n"/>
      <c r="E38" s="6" t="n"/>
      <c r="F38" s="6" t="n"/>
      <c r="G38" s="4">
        <f>IF(OR(E38="",F38=""),"",IF(E38=F38,1,0))</f>
        <v/>
      </c>
      <c r="H38" s="6" t="n"/>
      <c r="I38" s="6" t="n"/>
      <c r="J38" s="6" t="n"/>
      <c r="K38" s="6" t="n"/>
    </row>
    <row r="39">
      <c r="A39" s="4" t="n">
        <v>38</v>
      </c>
      <c r="B39" s="6" t="n"/>
      <c r="C39" s="6" t="n"/>
      <c r="D39" s="6" t="n"/>
      <c r="E39" s="6" t="n"/>
      <c r="F39" s="6" t="n"/>
      <c r="G39" s="4">
        <f>IF(OR(E39="",F39=""),"",IF(E39=F39,1,0))</f>
        <v/>
      </c>
      <c r="H39" s="6" t="n"/>
      <c r="I39" s="6" t="n"/>
      <c r="J39" s="6" t="n"/>
      <c r="K39" s="6" t="n"/>
    </row>
    <row r="40">
      <c r="A40" s="4" t="n">
        <v>39</v>
      </c>
      <c r="B40" s="6" t="n"/>
      <c r="C40" s="6" t="n"/>
      <c r="D40" s="6" t="n"/>
      <c r="E40" s="6" t="n"/>
      <c r="F40" s="6" t="n"/>
      <c r="G40" s="4">
        <f>IF(OR(E40="",F40=""),"",IF(E40=F40,1,0))</f>
        <v/>
      </c>
      <c r="H40" s="6" t="n"/>
      <c r="I40" s="6" t="n"/>
      <c r="J40" s="6" t="n"/>
      <c r="K40" s="6" t="n"/>
    </row>
    <row r="41">
      <c r="A41" s="4" t="n">
        <v>40</v>
      </c>
      <c r="B41" s="6" t="n"/>
      <c r="C41" s="6" t="n"/>
      <c r="D41" s="6" t="n"/>
      <c r="E41" s="6" t="n"/>
      <c r="F41" s="6" t="n"/>
      <c r="G41" s="4">
        <f>IF(OR(E41="",F41=""),"",IF(E41=F41,1,0))</f>
        <v/>
      </c>
      <c r="H41" s="6" t="n"/>
      <c r="I41" s="6" t="n"/>
      <c r="J41" s="6" t="n"/>
      <c r="K41" s="6" t="n"/>
    </row>
    <row r="42">
      <c r="A42" s="4" t="n">
        <v>41</v>
      </c>
      <c r="B42" s="6" t="n"/>
      <c r="C42" s="6" t="n"/>
      <c r="D42" s="6" t="n"/>
      <c r="E42" s="6" t="n"/>
      <c r="F42" s="6" t="n"/>
      <c r="G42" s="4">
        <f>IF(OR(E42="",F42=""),"",IF(E42=F42,1,0))</f>
        <v/>
      </c>
      <c r="H42" s="6" t="n"/>
      <c r="I42" s="6" t="n"/>
      <c r="J42" s="6" t="n"/>
      <c r="K42" s="6" t="n"/>
    </row>
    <row r="43">
      <c r="A43" s="4" t="n">
        <v>42</v>
      </c>
      <c r="B43" s="6" t="n"/>
      <c r="C43" s="6" t="n"/>
      <c r="D43" s="6" t="n"/>
      <c r="E43" s="6" t="n"/>
      <c r="F43" s="6" t="n"/>
      <c r="G43" s="4">
        <f>IF(OR(E43="",F43=""),"",IF(E43=F43,1,0))</f>
        <v/>
      </c>
      <c r="H43" s="6" t="n"/>
      <c r="I43" s="6" t="n"/>
      <c r="J43" s="6" t="n"/>
      <c r="K43" s="6" t="n"/>
    </row>
    <row r="44">
      <c r="A44" s="4" t="n">
        <v>43</v>
      </c>
      <c r="B44" s="6" t="n"/>
      <c r="C44" s="6" t="n"/>
      <c r="D44" s="6" t="n"/>
      <c r="E44" s="6" t="n"/>
      <c r="F44" s="6" t="n"/>
      <c r="G44" s="4">
        <f>IF(OR(E44="",F44=""),"",IF(E44=F44,1,0))</f>
        <v/>
      </c>
      <c r="H44" s="6" t="n"/>
      <c r="I44" s="6" t="n"/>
      <c r="J44" s="6" t="n"/>
      <c r="K44" s="6" t="n"/>
    </row>
    <row r="45">
      <c r="A45" s="4" t="n">
        <v>44</v>
      </c>
      <c r="B45" s="6" t="n"/>
      <c r="C45" s="6" t="n"/>
      <c r="D45" s="6" t="n"/>
      <c r="E45" s="6" t="n"/>
      <c r="F45" s="6" t="n"/>
      <c r="G45" s="4">
        <f>IF(OR(E45="",F45=""),"",IF(E45=F45,1,0))</f>
        <v/>
      </c>
      <c r="H45" s="6" t="n"/>
      <c r="I45" s="6" t="n"/>
      <c r="J45" s="6" t="n"/>
      <c r="K45" s="6" t="n"/>
    </row>
    <row r="46">
      <c r="A46" s="4" t="n">
        <v>45</v>
      </c>
      <c r="B46" s="6" t="n"/>
      <c r="C46" s="6" t="n"/>
      <c r="D46" s="6" t="n"/>
      <c r="E46" s="6" t="n"/>
      <c r="F46" s="6" t="n"/>
      <c r="G46" s="4">
        <f>IF(OR(E46="",F46=""),"",IF(E46=F46,1,0))</f>
        <v/>
      </c>
      <c r="H46" s="6" t="n"/>
      <c r="I46" s="6" t="n"/>
      <c r="J46" s="6" t="n"/>
      <c r="K46" s="6" t="n"/>
    </row>
    <row r="47">
      <c r="A47" s="4" t="n">
        <v>46</v>
      </c>
      <c r="B47" s="6" t="n"/>
      <c r="C47" s="6" t="n"/>
      <c r="D47" s="6" t="n"/>
      <c r="E47" s="6" t="n"/>
      <c r="F47" s="6" t="n"/>
      <c r="G47" s="4">
        <f>IF(OR(E47="",F47=""),"",IF(E47=F47,1,0))</f>
        <v/>
      </c>
      <c r="H47" s="6" t="n"/>
      <c r="I47" s="6" t="n"/>
      <c r="J47" s="6" t="n"/>
      <c r="K47" s="6" t="n"/>
    </row>
    <row r="48">
      <c r="A48" s="4" t="n">
        <v>47</v>
      </c>
      <c r="B48" s="6" t="n"/>
      <c r="C48" s="6" t="n"/>
      <c r="D48" s="6" t="n"/>
      <c r="E48" s="6" t="n"/>
      <c r="F48" s="6" t="n"/>
      <c r="G48" s="4">
        <f>IF(OR(E48="",F48=""),"",IF(E48=F48,1,0))</f>
        <v/>
      </c>
      <c r="H48" s="6" t="n"/>
      <c r="I48" s="6" t="n"/>
      <c r="J48" s="6" t="n"/>
      <c r="K48" s="6" t="n"/>
    </row>
    <row r="49">
      <c r="A49" s="4" t="n">
        <v>48</v>
      </c>
      <c r="B49" s="6" t="n"/>
      <c r="C49" s="6" t="n"/>
      <c r="D49" s="6" t="n"/>
      <c r="E49" s="6" t="n"/>
      <c r="F49" s="6" t="n"/>
      <c r="G49" s="4">
        <f>IF(OR(E49="",F49=""),"",IF(E49=F49,1,0))</f>
        <v/>
      </c>
      <c r="H49" s="6" t="n"/>
      <c r="I49" s="6" t="n"/>
      <c r="J49" s="6" t="n"/>
      <c r="K49" s="6" t="n"/>
    </row>
    <row r="50">
      <c r="A50" s="4" t="n">
        <v>49</v>
      </c>
      <c r="B50" s="6" t="n"/>
      <c r="C50" s="6" t="n"/>
      <c r="D50" s="6" t="n"/>
      <c r="E50" s="6" t="n"/>
      <c r="F50" s="6" t="n"/>
      <c r="G50" s="4">
        <f>IF(OR(E50="",F50=""),"",IF(E50=F50,1,0))</f>
        <v/>
      </c>
      <c r="H50" s="6" t="n"/>
      <c r="I50" s="6" t="n"/>
      <c r="J50" s="6" t="n"/>
      <c r="K50" s="6" t="n"/>
    </row>
    <row r="51">
      <c r="A51" s="4" t="n">
        <v>50</v>
      </c>
      <c r="B51" s="6" t="n"/>
      <c r="C51" s="6" t="n"/>
      <c r="D51" s="6" t="n"/>
      <c r="E51" s="6" t="n"/>
      <c r="F51" s="6" t="n"/>
      <c r="G51" s="4">
        <f>IF(OR(E51="",F51=""),"",IF(E51=F51,1,0))</f>
        <v/>
      </c>
      <c r="H51" s="6" t="n"/>
      <c r="I51" s="6" t="n"/>
      <c r="J51" s="6" t="n"/>
      <c r="K51" s="6" t="n"/>
    </row>
    <row r="52">
      <c r="A52" s="4" t="n">
        <v>51</v>
      </c>
      <c r="B52" s="6" t="n"/>
      <c r="C52" s="6" t="n"/>
      <c r="D52" s="6" t="n"/>
      <c r="E52" s="6" t="n"/>
      <c r="F52" s="6" t="n"/>
      <c r="G52" s="4">
        <f>IF(OR(E52="",F52=""),"",IF(E52=F52,1,0))</f>
        <v/>
      </c>
      <c r="H52" s="6" t="n"/>
      <c r="I52" s="6" t="n"/>
      <c r="J52" s="6" t="n"/>
      <c r="K52" s="6" t="n"/>
    </row>
    <row r="53">
      <c r="A53" s="4" t="n">
        <v>52</v>
      </c>
      <c r="B53" s="6" t="n"/>
      <c r="C53" s="6" t="n"/>
      <c r="D53" s="6" t="n"/>
      <c r="E53" s="6" t="n"/>
      <c r="F53" s="6" t="n"/>
      <c r="G53" s="4">
        <f>IF(OR(E53="",F53=""),"",IF(E53=F53,1,0))</f>
        <v/>
      </c>
      <c r="H53" s="6" t="n"/>
      <c r="I53" s="6" t="n"/>
      <c r="J53" s="6" t="n"/>
      <c r="K53" s="6" t="n"/>
    </row>
    <row r="54">
      <c r="A54" s="4" t="n">
        <v>53</v>
      </c>
      <c r="B54" s="6" t="n"/>
      <c r="C54" s="6" t="n"/>
      <c r="D54" s="6" t="n"/>
      <c r="E54" s="6" t="n"/>
      <c r="F54" s="6" t="n"/>
      <c r="G54" s="4">
        <f>IF(OR(E54="",F54=""),"",IF(E54=F54,1,0))</f>
        <v/>
      </c>
      <c r="H54" s="6" t="n"/>
      <c r="I54" s="6" t="n"/>
      <c r="J54" s="6" t="n"/>
      <c r="K54" s="6" t="n"/>
    </row>
    <row r="55">
      <c r="A55" s="4" t="n">
        <v>54</v>
      </c>
      <c r="B55" s="6" t="n"/>
      <c r="C55" s="6" t="n"/>
      <c r="D55" s="6" t="n"/>
      <c r="E55" s="6" t="n"/>
      <c r="F55" s="6" t="n"/>
      <c r="G55" s="4">
        <f>IF(OR(E55="",F55=""),"",IF(E55=F55,1,0))</f>
        <v/>
      </c>
      <c r="H55" s="6" t="n"/>
      <c r="I55" s="6" t="n"/>
      <c r="J55" s="6" t="n"/>
      <c r="K55" s="6" t="n"/>
    </row>
    <row r="56">
      <c r="A56" s="4" t="n">
        <v>55</v>
      </c>
      <c r="B56" s="6" t="n"/>
      <c r="C56" s="6" t="n"/>
      <c r="D56" s="6" t="n"/>
      <c r="E56" s="6" t="n"/>
      <c r="F56" s="6" t="n"/>
      <c r="G56" s="4">
        <f>IF(OR(E56="",F56=""),"",IF(E56=F56,1,0))</f>
        <v/>
      </c>
      <c r="H56" s="6" t="n"/>
      <c r="I56" s="6" t="n"/>
      <c r="J56" s="6" t="n"/>
      <c r="K56" s="6" t="n"/>
    </row>
    <row r="57">
      <c r="A57" s="4" t="n">
        <v>56</v>
      </c>
      <c r="B57" s="6" t="n"/>
      <c r="C57" s="6" t="n"/>
      <c r="D57" s="6" t="n"/>
      <c r="E57" s="6" t="n"/>
      <c r="F57" s="6" t="n"/>
      <c r="G57" s="4">
        <f>IF(OR(E57="",F57=""),"",IF(E57=F57,1,0))</f>
        <v/>
      </c>
      <c r="H57" s="6" t="n"/>
      <c r="I57" s="6" t="n"/>
      <c r="J57" s="6" t="n"/>
      <c r="K57" s="6" t="n"/>
    </row>
    <row r="58">
      <c r="A58" s="4" t="n">
        <v>57</v>
      </c>
      <c r="B58" s="6" t="n"/>
      <c r="C58" s="6" t="n"/>
      <c r="D58" s="6" t="n"/>
      <c r="E58" s="6" t="n"/>
      <c r="F58" s="6" t="n"/>
      <c r="G58" s="4">
        <f>IF(OR(E58="",F58=""),"",IF(E58=F58,1,0))</f>
        <v/>
      </c>
      <c r="H58" s="6" t="n"/>
      <c r="I58" s="6" t="n"/>
      <c r="J58" s="6" t="n"/>
      <c r="K58" s="6" t="n"/>
    </row>
    <row r="59">
      <c r="A59" s="4" t="n">
        <v>58</v>
      </c>
      <c r="B59" s="6" t="n"/>
      <c r="C59" s="6" t="n"/>
      <c r="D59" s="6" t="n"/>
      <c r="E59" s="6" t="n"/>
      <c r="F59" s="6" t="n"/>
      <c r="G59" s="4">
        <f>IF(OR(E59="",F59=""),"",IF(E59=F59,1,0))</f>
        <v/>
      </c>
      <c r="H59" s="6" t="n"/>
      <c r="I59" s="6" t="n"/>
      <c r="J59" s="6" t="n"/>
      <c r="K59" s="6" t="n"/>
    </row>
    <row r="60">
      <c r="A60" s="4" t="n">
        <v>59</v>
      </c>
      <c r="B60" s="6" t="n"/>
      <c r="C60" s="6" t="n"/>
      <c r="D60" s="6" t="n"/>
      <c r="E60" s="6" t="n"/>
      <c r="F60" s="6" t="n"/>
      <c r="G60" s="4">
        <f>IF(OR(E60="",F60=""),"",IF(E60=F60,1,0))</f>
        <v/>
      </c>
      <c r="H60" s="6" t="n"/>
      <c r="I60" s="6" t="n"/>
      <c r="J60" s="6" t="n"/>
      <c r="K60" s="6" t="n"/>
    </row>
    <row r="61">
      <c r="A61" s="4" t="n">
        <v>60</v>
      </c>
      <c r="B61" s="6" t="n"/>
      <c r="C61" s="6" t="n"/>
      <c r="D61" s="6" t="n"/>
      <c r="E61" s="6" t="n"/>
      <c r="F61" s="6" t="n"/>
      <c r="G61" s="4">
        <f>IF(OR(E61="",F61=""),"",IF(E61=F61,1,0))</f>
        <v/>
      </c>
      <c r="H61" s="6" t="n"/>
      <c r="I61" s="6" t="n"/>
      <c r="J61" s="6" t="n"/>
      <c r="K61" s="6" t="n"/>
    </row>
    <row r="62">
      <c r="A62" s="4" t="n">
        <v>61</v>
      </c>
      <c r="B62" s="6" t="n"/>
      <c r="C62" s="6" t="n"/>
      <c r="D62" s="6" t="n"/>
      <c r="E62" s="6" t="n"/>
      <c r="F62" s="6" t="n"/>
      <c r="G62" s="4">
        <f>IF(OR(E62="",F62=""),"",IF(E62=F62,1,0))</f>
        <v/>
      </c>
      <c r="H62" s="6" t="n"/>
      <c r="I62" s="6" t="n"/>
      <c r="J62" s="6" t="n"/>
      <c r="K62" s="6" t="n"/>
    </row>
    <row r="63">
      <c r="A63" s="4" t="n">
        <v>62</v>
      </c>
      <c r="B63" s="6" t="n"/>
      <c r="C63" s="6" t="n"/>
      <c r="D63" s="6" t="n"/>
      <c r="E63" s="6" t="n"/>
      <c r="F63" s="6" t="n"/>
      <c r="G63" s="4">
        <f>IF(OR(E63="",F63=""),"",IF(E63=F63,1,0))</f>
        <v/>
      </c>
      <c r="H63" s="6" t="n"/>
      <c r="I63" s="6" t="n"/>
      <c r="J63" s="6" t="n"/>
      <c r="K63" s="6" t="n"/>
    </row>
    <row r="64">
      <c r="A64" s="4" t="n">
        <v>63</v>
      </c>
      <c r="B64" s="6" t="n"/>
      <c r="C64" s="6" t="n"/>
      <c r="D64" s="6" t="n"/>
      <c r="E64" s="6" t="n"/>
      <c r="F64" s="6" t="n"/>
      <c r="G64" s="4">
        <f>IF(OR(E64="",F64=""),"",IF(E64=F64,1,0))</f>
        <v/>
      </c>
      <c r="H64" s="6" t="n"/>
      <c r="I64" s="6" t="n"/>
      <c r="J64" s="6" t="n"/>
      <c r="K64" s="6" t="n"/>
    </row>
    <row r="65">
      <c r="A65" s="4" t="n">
        <v>64</v>
      </c>
      <c r="B65" s="6" t="n"/>
      <c r="C65" s="6" t="n"/>
      <c r="D65" s="6" t="n"/>
      <c r="E65" s="6" t="n"/>
      <c r="F65" s="6" t="n"/>
      <c r="G65" s="4">
        <f>IF(OR(E65="",F65=""),"",IF(E65=F65,1,0))</f>
        <v/>
      </c>
      <c r="H65" s="6" t="n"/>
      <c r="I65" s="6" t="n"/>
      <c r="J65" s="6" t="n"/>
      <c r="K65" s="6" t="n"/>
    </row>
    <row r="66">
      <c r="A66" s="4" t="n">
        <v>65</v>
      </c>
      <c r="B66" s="6" t="n"/>
      <c r="C66" s="6" t="n"/>
      <c r="D66" s="6" t="n"/>
      <c r="E66" s="6" t="n"/>
      <c r="F66" s="6" t="n"/>
      <c r="G66" s="4">
        <f>IF(OR(E66="",F66=""),"",IF(E66=F66,1,0))</f>
        <v/>
      </c>
      <c r="H66" s="6" t="n"/>
      <c r="I66" s="6" t="n"/>
      <c r="J66" s="6" t="n"/>
      <c r="K66" s="6" t="n"/>
    </row>
    <row r="67">
      <c r="A67" s="4" t="n">
        <v>66</v>
      </c>
      <c r="B67" s="6" t="n"/>
      <c r="C67" s="6" t="n"/>
      <c r="D67" s="6" t="n"/>
      <c r="E67" s="6" t="n"/>
      <c r="F67" s="6" t="n"/>
      <c r="G67" s="4">
        <f>IF(OR(E67="",F67=""),"",IF(E67=F67,1,0))</f>
        <v/>
      </c>
      <c r="H67" s="6" t="n"/>
      <c r="I67" s="6" t="n"/>
      <c r="J67" s="6" t="n"/>
      <c r="K67" s="6" t="n"/>
    </row>
    <row r="68">
      <c r="A68" s="4" t="n">
        <v>67</v>
      </c>
      <c r="B68" s="6" t="n"/>
      <c r="C68" s="6" t="n"/>
      <c r="D68" s="6" t="n"/>
      <c r="E68" s="6" t="n"/>
      <c r="F68" s="6" t="n"/>
      <c r="G68" s="4">
        <f>IF(OR(E68="",F68=""),"",IF(E68=F68,1,0))</f>
        <v/>
      </c>
      <c r="H68" s="6" t="n"/>
      <c r="I68" s="6" t="n"/>
      <c r="J68" s="6" t="n"/>
      <c r="K68" s="6" t="n"/>
    </row>
    <row r="69">
      <c r="A69" s="4" t="n">
        <v>68</v>
      </c>
      <c r="B69" s="6" t="n"/>
      <c r="C69" s="6" t="n"/>
      <c r="D69" s="6" t="n"/>
      <c r="E69" s="6" t="n"/>
      <c r="F69" s="6" t="n"/>
      <c r="G69" s="4">
        <f>IF(OR(E69="",F69=""),"",IF(E69=F69,1,0))</f>
        <v/>
      </c>
      <c r="H69" s="6" t="n"/>
      <c r="I69" s="6" t="n"/>
      <c r="J69" s="6" t="n"/>
      <c r="K69" s="6" t="n"/>
    </row>
    <row r="70">
      <c r="A70" s="4" t="n">
        <v>69</v>
      </c>
      <c r="B70" s="6" t="n"/>
      <c r="C70" s="6" t="n"/>
      <c r="D70" s="6" t="n"/>
      <c r="E70" s="6" t="n"/>
      <c r="F70" s="6" t="n"/>
      <c r="G70" s="4">
        <f>IF(OR(E70="",F70=""),"",IF(E70=F70,1,0))</f>
        <v/>
      </c>
      <c r="H70" s="6" t="n"/>
      <c r="I70" s="6" t="n"/>
      <c r="J70" s="6" t="n"/>
      <c r="K70" s="6" t="n"/>
    </row>
    <row r="71">
      <c r="A71" s="4" t="n">
        <v>70</v>
      </c>
      <c r="B71" s="6" t="n"/>
      <c r="C71" s="6" t="n"/>
      <c r="D71" s="6" t="n"/>
      <c r="E71" s="6" t="n"/>
      <c r="F71" s="6" t="n"/>
      <c r="G71" s="4">
        <f>IF(OR(E71="",F71=""),"",IF(E71=F71,1,0))</f>
        <v/>
      </c>
      <c r="H71" s="6" t="n"/>
      <c r="I71" s="6" t="n"/>
      <c r="J71" s="6" t="n"/>
      <c r="K71" s="6" t="n"/>
    </row>
    <row r="72">
      <c r="A72" s="4" t="n">
        <v>71</v>
      </c>
      <c r="B72" s="6" t="n"/>
      <c r="C72" s="6" t="n"/>
      <c r="D72" s="6" t="n"/>
      <c r="E72" s="6" t="n"/>
      <c r="F72" s="6" t="n"/>
      <c r="G72" s="4">
        <f>IF(OR(E72="",F72=""),"",IF(E72=F72,1,0))</f>
        <v/>
      </c>
      <c r="H72" s="6" t="n"/>
      <c r="I72" s="6" t="n"/>
      <c r="J72" s="6" t="n"/>
      <c r="K72" s="6" t="n"/>
    </row>
    <row r="73">
      <c r="A73" s="4" t="n">
        <v>72</v>
      </c>
      <c r="B73" s="6" t="n"/>
      <c r="C73" s="6" t="n"/>
      <c r="D73" s="6" t="n"/>
      <c r="E73" s="6" t="n"/>
      <c r="F73" s="6" t="n"/>
      <c r="G73" s="4">
        <f>IF(OR(E73="",F73=""),"",IF(E73=F73,1,0))</f>
        <v/>
      </c>
      <c r="H73" s="6" t="n"/>
      <c r="I73" s="6" t="n"/>
      <c r="J73" s="6" t="n"/>
      <c r="K73" s="6" t="n"/>
    </row>
    <row r="74">
      <c r="A74" s="4" t="n">
        <v>73</v>
      </c>
      <c r="B74" s="6" t="n"/>
      <c r="C74" s="6" t="n"/>
      <c r="D74" s="6" t="n"/>
      <c r="E74" s="6" t="n"/>
      <c r="F74" s="6" t="n"/>
      <c r="G74" s="4">
        <f>IF(OR(E74="",F74=""),"",IF(E74=F74,1,0))</f>
        <v/>
      </c>
      <c r="H74" s="6" t="n"/>
      <c r="I74" s="6" t="n"/>
      <c r="J74" s="6" t="n"/>
      <c r="K74" s="6" t="n"/>
    </row>
    <row r="75">
      <c r="A75" s="4" t="n">
        <v>74</v>
      </c>
      <c r="B75" s="6" t="n"/>
      <c r="C75" s="6" t="n"/>
      <c r="D75" s="6" t="n"/>
      <c r="E75" s="6" t="n"/>
      <c r="F75" s="6" t="n"/>
      <c r="G75" s="4">
        <f>IF(OR(E75="",F75=""),"",IF(E75=F75,1,0))</f>
        <v/>
      </c>
      <c r="H75" s="6" t="n"/>
      <c r="I75" s="6" t="n"/>
      <c r="J75" s="6" t="n"/>
      <c r="K75" s="6" t="n"/>
    </row>
    <row r="76">
      <c r="A76" s="4" t="n">
        <v>75</v>
      </c>
      <c r="B76" s="6" t="n"/>
      <c r="C76" s="6" t="n"/>
      <c r="D76" s="6" t="n"/>
      <c r="E76" s="6" t="n"/>
      <c r="F76" s="6" t="n"/>
      <c r="G76" s="4">
        <f>IF(OR(E76="",F76=""),"",IF(E76=F76,1,0))</f>
        <v/>
      </c>
      <c r="H76" s="6" t="n"/>
      <c r="I76" s="6" t="n"/>
      <c r="J76" s="6" t="n"/>
      <c r="K76" s="6" t="n"/>
    </row>
    <row r="77">
      <c r="A77" s="4" t="n">
        <v>76</v>
      </c>
      <c r="B77" s="6" t="n"/>
      <c r="C77" s="6" t="n"/>
      <c r="D77" s="6" t="n"/>
      <c r="E77" s="6" t="n"/>
      <c r="F77" s="6" t="n"/>
      <c r="G77" s="4">
        <f>IF(OR(E77="",F77=""),"",IF(E77=F77,1,0))</f>
        <v/>
      </c>
      <c r="H77" s="6" t="n"/>
      <c r="I77" s="6" t="n"/>
      <c r="J77" s="6" t="n"/>
      <c r="K77" s="6" t="n"/>
    </row>
    <row r="78">
      <c r="A78" s="4" t="n">
        <v>77</v>
      </c>
      <c r="B78" s="6" t="n"/>
      <c r="C78" s="6" t="n"/>
      <c r="D78" s="6" t="n"/>
      <c r="E78" s="6" t="n"/>
      <c r="F78" s="6" t="n"/>
      <c r="G78" s="4">
        <f>IF(OR(E78="",F78=""),"",IF(E78=F78,1,0))</f>
        <v/>
      </c>
      <c r="H78" s="6" t="n"/>
      <c r="I78" s="6" t="n"/>
      <c r="J78" s="6" t="n"/>
      <c r="K78" s="6" t="n"/>
    </row>
    <row r="79">
      <c r="A79" s="4" t="n">
        <v>78</v>
      </c>
      <c r="B79" s="6" t="n"/>
      <c r="C79" s="6" t="n"/>
      <c r="D79" s="6" t="n"/>
      <c r="E79" s="6" t="n"/>
      <c r="F79" s="6" t="n"/>
      <c r="G79" s="4">
        <f>IF(OR(E79="",F79=""),"",IF(E79=F79,1,0))</f>
        <v/>
      </c>
      <c r="H79" s="6" t="n"/>
      <c r="I79" s="6" t="n"/>
      <c r="J79" s="6" t="n"/>
      <c r="K79" s="6" t="n"/>
    </row>
    <row r="80">
      <c r="A80" s="4" t="n">
        <v>79</v>
      </c>
      <c r="B80" s="6" t="n"/>
      <c r="C80" s="6" t="n"/>
      <c r="D80" s="6" t="n"/>
      <c r="E80" s="6" t="n"/>
      <c r="F80" s="6" t="n"/>
      <c r="G80" s="4">
        <f>IF(OR(E80="",F80=""),"",IF(E80=F80,1,0))</f>
        <v/>
      </c>
      <c r="H80" s="6" t="n"/>
      <c r="I80" s="6" t="n"/>
      <c r="J80" s="6" t="n"/>
      <c r="K80" s="6" t="n"/>
    </row>
    <row r="81">
      <c r="A81" s="4" t="n">
        <v>80</v>
      </c>
      <c r="B81" s="6" t="n"/>
      <c r="C81" s="6" t="n"/>
      <c r="D81" s="6" t="n"/>
      <c r="E81" s="6" t="n"/>
      <c r="F81" s="6" t="n"/>
      <c r="G81" s="4">
        <f>IF(OR(E81="",F81=""),"",IF(E81=F81,1,0))</f>
        <v/>
      </c>
      <c r="H81" s="6" t="n"/>
      <c r="I81" s="6" t="n"/>
      <c r="J81" s="6" t="n"/>
      <c r="K81" s="6" t="n"/>
    </row>
    <row r="82">
      <c r="A82" s="4" t="n">
        <v>81</v>
      </c>
      <c r="B82" s="6" t="n"/>
      <c r="C82" s="6" t="n"/>
      <c r="D82" s="6" t="n"/>
      <c r="E82" s="6" t="n"/>
      <c r="F82" s="6" t="n"/>
      <c r="G82" s="4">
        <f>IF(OR(E82="",F82=""),"",IF(E82=F82,1,0))</f>
        <v/>
      </c>
      <c r="H82" s="6" t="n"/>
      <c r="I82" s="6" t="n"/>
      <c r="J82" s="6" t="n"/>
      <c r="K82" s="6" t="n"/>
    </row>
    <row r="83">
      <c r="A83" s="4" t="n">
        <v>82</v>
      </c>
      <c r="B83" s="6" t="n"/>
      <c r="C83" s="6" t="n"/>
      <c r="D83" s="6" t="n"/>
      <c r="E83" s="6" t="n"/>
      <c r="F83" s="6" t="n"/>
      <c r="G83" s="4">
        <f>IF(OR(E83="",F83=""),"",IF(E83=F83,1,0))</f>
        <v/>
      </c>
      <c r="H83" s="6" t="n"/>
      <c r="I83" s="6" t="n"/>
      <c r="J83" s="6" t="n"/>
      <c r="K83" s="6" t="n"/>
    </row>
    <row r="84">
      <c r="A84" s="4" t="n">
        <v>83</v>
      </c>
      <c r="B84" s="6" t="n"/>
      <c r="C84" s="6" t="n"/>
      <c r="D84" s="6" t="n"/>
      <c r="E84" s="6" t="n"/>
      <c r="F84" s="6" t="n"/>
      <c r="G84" s="4">
        <f>IF(OR(E84="",F84=""),"",IF(E84=F84,1,0))</f>
        <v/>
      </c>
      <c r="H84" s="6" t="n"/>
      <c r="I84" s="6" t="n"/>
      <c r="J84" s="6" t="n"/>
      <c r="K84" s="6" t="n"/>
    </row>
    <row r="85">
      <c r="A85" s="4" t="n">
        <v>84</v>
      </c>
      <c r="B85" s="6" t="n"/>
      <c r="C85" s="6" t="n"/>
      <c r="D85" s="6" t="n"/>
      <c r="E85" s="6" t="n"/>
      <c r="F85" s="6" t="n"/>
      <c r="G85" s="4">
        <f>IF(OR(E85="",F85=""),"",IF(E85=F85,1,0))</f>
        <v/>
      </c>
      <c r="H85" s="6" t="n"/>
      <c r="I85" s="6" t="n"/>
      <c r="J85" s="6" t="n"/>
      <c r="K85" s="6" t="n"/>
    </row>
    <row r="86">
      <c r="A86" s="4" t="n">
        <v>85</v>
      </c>
      <c r="B86" s="6" t="n"/>
      <c r="C86" s="6" t="n"/>
      <c r="D86" s="6" t="n"/>
      <c r="E86" s="6" t="n"/>
      <c r="F86" s="6" t="n"/>
      <c r="G86" s="4">
        <f>IF(OR(E86="",F86=""),"",IF(E86=F86,1,0))</f>
        <v/>
      </c>
      <c r="H86" s="6" t="n"/>
      <c r="I86" s="6" t="n"/>
      <c r="J86" s="6" t="n"/>
      <c r="K86" s="6" t="n"/>
    </row>
    <row r="87">
      <c r="A87" s="4" t="n">
        <v>86</v>
      </c>
      <c r="B87" s="6" t="n"/>
      <c r="C87" s="6" t="n"/>
      <c r="D87" s="6" t="n"/>
      <c r="E87" s="6" t="n"/>
      <c r="F87" s="6" t="n"/>
      <c r="G87" s="4">
        <f>IF(OR(E87="",F87=""),"",IF(E87=F87,1,0))</f>
        <v/>
      </c>
      <c r="H87" s="6" t="n"/>
      <c r="I87" s="6" t="n"/>
      <c r="J87" s="6" t="n"/>
      <c r="K87" s="6" t="n"/>
    </row>
    <row r="88">
      <c r="A88" s="4" t="n">
        <v>87</v>
      </c>
      <c r="B88" s="6" t="n"/>
      <c r="C88" s="6" t="n"/>
      <c r="D88" s="6" t="n"/>
      <c r="E88" s="6" t="n"/>
      <c r="F88" s="6" t="n"/>
      <c r="G88" s="4">
        <f>IF(OR(E88="",F88=""),"",IF(E88=F88,1,0))</f>
        <v/>
      </c>
      <c r="H88" s="6" t="n"/>
      <c r="I88" s="6" t="n"/>
      <c r="J88" s="6" t="n"/>
      <c r="K88" s="6" t="n"/>
    </row>
    <row r="89">
      <c r="A89" s="4" t="n">
        <v>88</v>
      </c>
      <c r="B89" s="6" t="n"/>
      <c r="C89" s="6" t="n"/>
      <c r="D89" s="6" t="n"/>
      <c r="E89" s="6" t="n"/>
      <c r="F89" s="6" t="n"/>
      <c r="G89" s="4">
        <f>IF(OR(E89="",F89=""),"",IF(E89=F89,1,0))</f>
        <v/>
      </c>
      <c r="H89" s="6" t="n"/>
      <c r="I89" s="6" t="n"/>
      <c r="J89" s="6" t="n"/>
      <c r="K89" s="6" t="n"/>
    </row>
    <row r="90">
      <c r="A90" s="4" t="n">
        <v>89</v>
      </c>
      <c r="B90" s="6" t="n"/>
      <c r="C90" s="6" t="n"/>
      <c r="D90" s="6" t="n"/>
      <c r="E90" s="6" t="n"/>
      <c r="F90" s="6" t="n"/>
      <c r="G90" s="4">
        <f>IF(OR(E90="",F90=""),"",IF(E90=F90,1,0))</f>
        <v/>
      </c>
      <c r="H90" s="6" t="n"/>
      <c r="I90" s="6" t="n"/>
      <c r="J90" s="6" t="n"/>
      <c r="K90" s="6" t="n"/>
    </row>
    <row r="91">
      <c r="A91" s="4" t="n">
        <v>90</v>
      </c>
      <c r="B91" s="6" t="n"/>
      <c r="C91" s="6" t="n"/>
      <c r="D91" s="6" t="n"/>
      <c r="E91" s="6" t="n"/>
      <c r="F91" s="6" t="n"/>
      <c r="G91" s="4">
        <f>IF(OR(E91="",F91=""),"",IF(E91=F91,1,0))</f>
        <v/>
      </c>
      <c r="H91" s="6" t="n"/>
      <c r="I91" s="6" t="n"/>
      <c r="J91" s="6" t="n"/>
      <c r="K91" s="6" t="n"/>
    </row>
    <row r="92">
      <c r="A92" s="4" t="n">
        <v>91</v>
      </c>
      <c r="B92" s="6" t="n"/>
      <c r="C92" s="6" t="n"/>
      <c r="D92" s="6" t="n"/>
      <c r="E92" s="6" t="n"/>
      <c r="F92" s="6" t="n"/>
      <c r="G92" s="4">
        <f>IF(OR(E92="",F92=""),"",IF(E92=F92,1,0))</f>
        <v/>
      </c>
      <c r="H92" s="6" t="n"/>
      <c r="I92" s="6" t="n"/>
      <c r="J92" s="6" t="n"/>
      <c r="K92" s="6" t="n"/>
    </row>
    <row r="93">
      <c r="A93" s="4" t="n">
        <v>92</v>
      </c>
      <c r="B93" s="6" t="n"/>
      <c r="C93" s="6" t="n"/>
      <c r="D93" s="6" t="n"/>
      <c r="E93" s="6" t="n"/>
      <c r="F93" s="6" t="n"/>
      <c r="G93" s="4">
        <f>IF(OR(E93="",F93=""),"",IF(E93=F93,1,0))</f>
        <v/>
      </c>
      <c r="H93" s="6" t="n"/>
      <c r="I93" s="6" t="n"/>
      <c r="J93" s="6" t="n"/>
      <c r="K93" s="6" t="n"/>
    </row>
    <row r="94">
      <c r="A94" s="4" t="n">
        <v>93</v>
      </c>
      <c r="B94" s="6" t="n"/>
      <c r="C94" s="6" t="n"/>
      <c r="D94" s="6" t="n"/>
      <c r="E94" s="6" t="n"/>
      <c r="F94" s="6" t="n"/>
      <c r="G94" s="4">
        <f>IF(OR(E94="",F94=""),"",IF(E94=F94,1,0))</f>
        <v/>
      </c>
      <c r="H94" s="6" t="n"/>
      <c r="I94" s="6" t="n"/>
      <c r="J94" s="6" t="n"/>
      <c r="K94" s="6" t="n"/>
    </row>
    <row r="95">
      <c r="A95" s="4" t="n">
        <v>94</v>
      </c>
      <c r="B95" s="6" t="n"/>
      <c r="C95" s="6" t="n"/>
      <c r="D95" s="6" t="n"/>
      <c r="E95" s="6" t="n"/>
      <c r="F95" s="6" t="n"/>
      <c r="G95" s="4">
        <f>IF(OR(E95="",F95=""),"",IF(E95=F95,1,0))</f>
        <v/>
      </c>
      <c r="H95" s="6" t="n"/>
      <c r="I95" s="6" t="n"/>
      <c r="J95" s="6" t="n"/>
      <c r="K95" s="6" t="n"/>
    </row>
    <row r="96">
      <c r="A96" s="4" t="n">
        <v>95</v>
      </c>
      <c r="B96" s="6" t="n"/>
      <c r="C96" s="6" t="n"/>
      <c r="D96" s="6" t="n"/>
      <c r="E96" s="6" t="n"/>
      <c r="F96" s="6" t="n"/>
      <c r="G96" s="4">
        <f>IF(OR(E96="",F96=""),"",IF(E96=F96,1,0))</f>
        <v/>
      </c>
      <c r="H96" s="6" t="n"/>
      <c r="I96" s="6" t="n"/>
      <c r="J96" s="6" t="n"/>
      <c r="K96" s="6" t="n"/>
    </row>
    <row r="97">
      <c r="A97" s="4" t="n">
        <v>96</v>
      </c>
      <c r="B97" s="6" t="n"/>
      <c r="C97" s="6" t="n"/>
      <c r="D97" s="6" t="n"/>
      <c r="E97" s="6" t="n"/>
      <c r="F97" s="6" t="n"/>
      <c r="G97" s="4">
        <f>IF(OR(E97="",F97=""),"",IF(E97=F97,1,0))</f>
        <v/>
      </c>
      <c r="H97" s="6" t="n"/>
      <c r="I97" s="6" t="n"/>
      <c r="J97" s="6" t="n"/>
      <c r="K97" s="6" t="n"/>
    </row>
    <row r="98">
      <c r="A98" s="4" t="n">
        <v>97</v>
      </c>
      <c r="B98" s="6" t="n"/>
      <c r="C98" s="6" t="n"/>
      <c r="D98" s="6" t="n"/>
      <c r="E98" s="6" t="n"/>
      <c r="F98" s="6" t="n"/>
      <c r="G98" s="4">
        <f>IF(OR(E98="",F98=""),"",IF(E98=F98,1,0))</f>
        <v/>
      </c>
      <c r="H98" s="6" t="n"/>
      <c r="I98" s="6" t="n"/>
      <c r="J98" s="6" t="n"/>
      <c r="K98" s="6" t="n"/>
    </row>
    <row r="99">
      <c r="A99" s="4" t="n">
        <v>98</v>
      </c>
      <c r="B99" s="6" t="n"/>
      <c r="C99" s="6" t="n"/>
      <c r="D99" s="6" t="n"/>
      <c r="E99" s="6" t="n"/>
      <c r="F99" s="6" t="n"/>
      <c r="G99" s="4">
        <f>IF(OR(E99="",F99=""),"",IF(E99=F99,1,0))</f>
        <v/>
      </c>
      <c r="H99" s="6" t="n"/>
      <c r="I99" s="6" t="n"/>
      <c r="J99" s="6" t="n"/>
      <c r="K99" s="6" t="n"/>
    </row>
    <row r="100">
      <c r="A100" s="4" t="n">
        <v>99</v>
      </c>
      <c r="B100" s="6" t="n"/>
      <c r="C100" s="6" t="n"/>
      <c r="D100" s="6" t="n"/>
      <c r="E100" s="6" t="n"/>
      <c r="F100" s="6" t="n"/>
      <c r="G100" s="4">
        <f>IF(OR(E100="",F100=""),"",IF(E100=F100,1,0))</f>
        <v/>
      </c>
      <c r="H100" s="6" t="n"/>
      <c r="I100" s="6" t="n"/>
      <c r="J100" s="6" t="n"/>
      <c r="K100" s="6" t="n"/>
    </row>
    <row r="101">
      <c r="A101" s="4" t="n">
        <v>100</v>
      </c>
      <c r="B101" s="6" t="n"/>
      <c r="C101" s="6" t="n"/>
      <c r="D101" s="6" t="n"/>
      <c r="E101" s="6" t="n"/>
      <c r="F101" s="6" t="n"/>
      <c r="G101" s="4">
        <f>IF(OR(E101="",F101=""),"",IF(E101=F101,1,0))</f>
        <v/>
      </c>
      <c r="H101" s="6" t="n"/>
      <c r="I101" s="6" t="n"/>
      <c r="J101" s="6" t="n"/>
      <c r="K101" s="6" t="n"/>
    </row>
    <row r="102">
      <c r="A102" s="4" t="n">
        <v>101</v>
      </c>
      <c r="B102" s="6" t="n"/>
      <c r="C102" s="6" t="n"/>
      <c r="D102" s="6" t="n"/>
      <c r="E102" s="6" t="n"/>
      <c r="F102" s="6" t="n"/>
      <c r="G102" s="4">
        <f>IF(OR(E102="",F102=""),"",IF(E102=F102,1,0))</f>
        <v/>
      </c>
      <c r="H102" s="6" t="n"/>
      <c r="I102" s="6" t="n"/>
      <c r="J102" s="6" t="n"/>
      <c r="K102" s="6" t="n"/>
    </row>
    <row r="103">
      <c r="A103" s="4" t="n">
        <v>102</v>
      </c>
      <c r="B103" s="6" t="n"/>
      <c r="C103" s="6" t="n"/>
      <c r="D103" s="6" t="n"/>
      <c r="E103" s="6" t="n"/>
      <c r="F103" s="6" t="n"/>
      <c r="G103" s="4">
        <f>IF(OR(E103="",F103=""),"",IF(E103=F103,1,0))</f>
        <v/>
      </c>
      <c r="H103" s="6" t="n"/>
      <c r="I103" s="6" t="n"/>
      <c r="J103" s="6" t="n"/>
      <c r="K103" s="6" t="n"/>
    </row>
    <row r="104">
      <c r="A104" s="4" t="n">
        <v>103</v>
      </c>
      <c r="B104" s="6" t="n"/>
      <c r="C104" s="6" t="n"/>
      <c r="D104" s="6" t="n"/>
      <c r="E104" s="6" t="n"/>
      <c r="F104" s="6" t="n"/>
      <c r="G104" s="4">
        <f>IF(OR(E104="",F104=""),"",IF(E104=F104,1,0))</f>
        <v/>
      </c>
      <c r="H104" s="6" t="n"/>
      <c r="I104" s="6" t="n"/>
      <c r="J104" s="6" t="n"/>
      <c r="K104" s="6" t="n"/>
    </row>
    <row r="105">
      <c r="A105" s="4" t="n">
        <v>104</v>
      </c>
      <c r="B105" s="6" t="n"/>
      <c r="C105" s="6" t="n"/>
      <c r="D105" s="6" t="n"/>
      <c r="E105" s="6" t="n"/>
      <c r="F105" s="6" t="n"/>
      <c r="G105" s="4">
        <f>IF(OR(E105="",F105=""),"",IF(E105=F105,1,0))</f>
        <v/>
      </c>
      <c r="H105" s="6" t="n"/>
      <c r="I105" s="6" t="n"/>
      <c r="J105" s="6" t="n"/>
      <c r="K105" s="6" t="n"/>
    </row>
    <row r="106">
      <c r="A106" s="4" t="n">
        <v>105</v>
      </c>
      <c r="B106" s="6" t="n"/>
      <c r="C106" s="6" t="n"/>
      <c r="D106" s="6" t="n"/>
      <c r="E106" s="6" t="n"/>
      <c r="F106" s="6" t="n"/>
      <c r="G106" s="4">
        <f>IF(OR(E106="",F106=""),"",IF(E106=F106,1,0))</f>
        <v/>
      </c>
      <c r="H106" s="6" t="n"/>
      <c r="I106" s="6" t="n"/>
      <c r="J106" s="6" t="n"/>
      <c r="K106" s="6" t="n"/>
    </row>
    <row r="107">
      <c r="A107" s="4" t="n">
        <v>106</v>
      </c>
      <c r="B107" s="6" t="n"/>
      <c r="C107" s="6" t="n"/>
      <c r="D107" s="6" t="n"/>
      <c r="E107" s="6" t="n"/>
      <c r="F107" s="6" t="n"/>
      <c r="G107" s="4">
        <f>IF(OR(E107="",F107=""),"",IF(E107=F107,1,0))</f>
        <v/>
      </c>
      <c r="H107" s="6" t="n"/>
      <c r="I107" s="6" t="n"/>
      <c r="J107" s="6" t="n"/>
      <c r="K107" s="6" t="n"/>
    </row>
    <row r="108">
      <c r="A108" s="4" t="n">
        <v>107</v>
      </c>
      <c r="B108" s="6" t="n"/>
      <c r="C108" s="6" t="n"/>
      <c r="D108" s="6" t="n"/>
      <c r="E108" s="6" t="n"/>
      <c r="F108" s="6" t="n"/>
      <c r="G108" s="4">
        <f>IF(OR(E108="",F108=""),"",IF(E108=F108,1,0))</f>
        <v/>
      </c>
      <c r="H108" s="6" t="n"/>
      <c r="I108" s="6" t="n"/>
      <c r="J108" s="6" t="n"/>
      <c r="K108" s="6" t="n"/>
    </row>
    <row r="109">
      <c r="A109" s="4" t="n">
        <v>108</v>
      </c>
      <c r="B109" s="6" t="n"/>
      <c r="C109" s="6" t="n"/>
      <c r="D109" s="6" t="n"/>
      <c r="E109" s="6" t="n"/>
      <c r="F109" s="6" t="n"/>
      <c r="G109" s="4">
        <f>IF(OR(E109="",F109=""),"",IF(E109=F109,1,0))</f>
        <v/>
      </c>
      <c r="H109" s="6" t="n"/>
      <c r="I109" s="6" t="n"/>
      <c r="J109" s="6" t="n"/>
      <c r="K109" s="6" t="n"/>
    </row>
    <row r="110">
      <c r="A110" s="4" t="n">
        <v>109</v>
      </c>
      <c r="B110" s="6" t="n"/>
      <c r="C110" s="6" t="n"/>
      <c r="D110" s="6" t="n"/>
      <c r="E110" s="6" t="n"/>
      <c r="F110" s="6" t="n"/>
      <c r="G110" s="4">
        <f>IF(OR(E110="",F110=""),"",IF(E110=F110,1,0))</f>
        <v/>
      </c>
      <c r="H110" s="6" t="n"/>
      <c r="I110" s="6" t="n"/>
      <c r="J110" s="6" t="n"/>
      <c r="K110" s="6" t="n"/>
    </row>
    <row r="111">
      <c r="A111" s="4" t="n">
        <v>110</v>
      </c>
      <c r="B111" s="6" t="n"/>
      <c r="C111" s="6" t="n"/>
      <c r="D111" s="6" t="n"/>
      <c r="E111" s="6" t="n"/>
      <c r="F111" s="6" t="n"/>
      <c r="G111" s="4">
        <f>IF(OR(E111="",F111=""),"",IF(E111=F111,1,0))</f>
        <v/>
      </c>
      <c r="H111" s="6" t="n"/>
      <c r="I111" s="6" t="n"/>
      <c r="J111" s="6" t="n"/>
      <c r="K111" s="6" t="n"/>
    </row>
    <row r="112">
      <c r="A112" s="4" t="n">
        <v>111</v>
      </c>
      <c r="B112" s="6" t="n"/>
      <c r="C112" s="6" t="n"/>
      <c r="D112" s="6" t="n"/>
      <c r="E112" s="6" t="n"/>
      <c r="F112" s="6" t="n"/>
      <c r="G112" s="4">
        <f>IF(OR(E112="",F112=""),"",IF(E112=F112,1,0))</f>
        <v/>
      </c>
      <c r="H112" s="6" t="n"/>
      <c r="I112" s="6" t="n"/>
      <c r="J112" s="6" t="n"/>
      <c r="K112" s="6" t="n"/>
    </row>
    <row r="113">
      <c r="A113" s="4" t="n">
        <v>112</v>
      </c>
      <c r="B113" s="6" t="n"/>
      <c r="C113" s="6" t="n"/>
      <c r="D113" s="6" t="n"/>
      <c r="E113" s="6" t="n"/>
      <c r="F113" s="6" t="n"/>
      <c r="G113" s="4">
        <f>IF(OR(E113="",F113=""),"",IF(E113=F113,1,0))</f>
        <v/>
      </c>
      <c r="H113" s="6" t="n"/>
      <c r="I113" s="6" t="n"/>
      <c r="J113" s="6" t="n"/>
      <c r="K113" s="6" t="n"/>
    </row>
    <row r="114">
      <c r="A114" s="4" t="n">
        <v>113</v>
      </c>
      <c r="B114" s="6" t="n"/>
      <c r="C114" s="6" t="n"/>
      <c r="D114" s="6" t="n"/>
      <c r="E114" s="6" t="n"/>
      <c r="F114" s="6" t="n"/>
      <c r="G114" s="4">
        <f>IF(OR(E114="",F114=""),"",IF(E114=F114,1,0))</f>
        <v/>
      </c>
      <c r="H114" s="6" t="n"/>
      <c r="I114" s="6" t="n"/>
      <c r="J114" s="6" t="n"/>
      <c r="K114" s="6" t="n"/>
    </row>
    <row r="115">
      <c r="A115" s="4" t="n">
        <v>114</v>
      </c>
      <c r="B115" s="6" t="n"/>
      <c r="C115" s="6" t="n"/>
      <c r="D115" s="6" t="n"/>
      <c r="E115" s="6" t="n"/>
      <c r="F115" s="6" t="n"/>
      <c r="G115" s="4">
        <f>IF(OR(E115="",F115=""),"",IF(E115=F115,1,0))</f>
        <v/>
      </c>
      <c r="H115" s="6" t="n"/>
      <c r="I115" s="6" t="n"/>
      <c r="J115" s="6" t="n"/>
      <c r="K115" s="6" t="n"/>
    </row>
    <row r="116">
      <c r="A116" s="4" t="n">
        <v>115</v>
      </c>
      <c r="B116" s="6" t="n"/>
      <c r="C116" s="6" t="n"/>
      <c r="D116" s="6" t="n"/>
      <c r="E116" s="6" t="n"/>
      <c r="F116" s="6" t="n"/>
      <c r="G116" s="4">
        <f>IF(OR(E116="",F116=""),"",IF(E116=F116,1,0))</f>
        <v/>
      </c>
      <c r="H116" s="6" t="n"/>
      <c r="I116" s="6" t="n"/>
      <c r="J116" s="6" t="n"/>
      <c r="K116" s="6" t="n"/>
    </row>
    <row r="117">
      <c r="A117" s="4" t="n">
        <v>116</v>
      </c>
      <c r="B117" s="6" t="n"/>
      <c r="C117" s="6" t="n"/>
      <c r="D117" s="6" t="n"/>
      <c r="E117" s="6" t="n"/>
      <c r="F117" s="6" t="n"/>
      <c r="G117" s="4">
        <f>IF(OR(E117="",F117=""),"",IF(E117=F117,1,0))</f>
        <v/>
      </c>
      <c r="H117" s="6" t="n"/>
      <c r="I117" s="6" t="n"/>
      <c r="J117" s="6" t="n"/>
      <c r="K117" s="6" t="n"/>
    </row>
    <row r="118">
      <c r="A118" s="4" t="n">
        <v>117</v>
      </c>
      <c r="B118" s="6" t="n"/>
      <c r="C118" s="6" t="n"/>
      <c r="D118" s="6" t="n"/>
      <c r="E118" s="6" t="n"/>
      <c r="F118" s="6" t="n"/>
      <c r="G118" s="4">
        <f>IF(OR(E118="",F118=""),"",IF(E118=F118,1,0))</f>
        <v/>
      </c>
      <c r="H118" s="6" t="n"/>
      <c r="I118" s="6" t="n"/>
      <c r="J118" s="6" t="n"/>
      <c r="K118" s="6" t="n"/>
    </row>
    <row r="119">
      <c r="A119" s="4" t="n">
        <v>118</v>
      </c>
      <c r="B119" s="6" t="n"/>
      <c r="C119" s="6" t="n"/>
      <c r="D119" s="6" t="n"/>
      <c r="E119" s="6" t="n"/>
      <c r="F119" s="6" t="n"/>
      <c r="G119" s="4">
        <f>IF(OR(E119="",F119=""),"",IF(E119=F119,1,0))</f>
        <v/>
      </c>
      <c r="H119" s="6" t="n"/>
      <c r="I119" s="6" t="n"/>
      <c r="J119" s="6" t="n"/>
      <c r="K119" s="6" t="n"/>
    </row>
    <row r="120">
      <c r="A120" s="4" t="n">
        <v>119</v>
      </c>
      <c r="B120" s="6" t="n"/>
      <c r="C120" s="6" t="n"/>
      <c r="D120" s="6" t="n"/>
      <c r="E120" s="6" t="n"/>
      <c r="F120" s="6" t="n"/>
      <c r="G120" s="4">
        <f>IF(OR(E120="",F120=""),"",IF(E120=F120,1,0))</f>
        <v/>
      </c>
      <c r="H120" s="6" t="n"/>
      <c r="I120" s="6" t="n"/>
      <c r="J120" s="6" t="n"/>
      <c r="K120" s="6" t="n"/>
    </row>
    <row r="121">
      <c r="A121" s="4" t="n">
        <v>120</v>
      </c>
      <c r="B121" s="6" t="n"/>
      <c r="C121" s="6" t="n"/>
      <c r="D121" s="6" t="n"/>
      <c r="E121" s="6" t="n"/>
      <c r="F121" s="6" t="n"/>
      <c r="G121" s="4">
        <f>IF(OR(E121="",F121=""),"",IF(E121=F121,1,0))</f>
        <v/>
      </c>
      <c r="H121" s="6" t="n"/>
      <c r="I121" s="6" t="n"/>
      <c r="J121" s="6" t="n"/>
      <c r="K121" s="6" t="n"/>
    </row>
    <row r="122">
      <c r="A122" s="4" t="n">
        <v>121</v>
      </c>
      <c r="B122" s="6" t="n"/>
      <c r="C122" s="6" t="n"/>
      <c r="D122" s="6" t="n"/>
      <c r="E122" s="6" t="n"/>
      <c r="F122" s="6" t="n"/>
      <c r="G122" s="4">
        <f>IF(OR(E122="",F122=""),"",IF(E122=F122,1,0))</f>
        <v/>
      </c>
      <c r="H122" s="6" t="n"/>
      <c r="I122" s="6" t="n"/>
      <c r="J122" s="6" t="n"/>
      <c r="K122" s="6" t="n"/>
    </row>
    <row r="123">
      <c r="A123" s="4" t="n">
        <v>122</v>
      </c>
      <c r="B123" s="6" t="n"/>
      <c r="C123" s="6" t="n"/>
      <c r="D123" s="6" t="n"/>
      <c r="E123" s="6" t="n"/>
      <c r="F123" s="6" t="n"/>
      <c r="G123" s="4">
        <f>IF(OR(E123="",F123=""),"",IF(E123=F123,1,0))</f>
        <v/>
      </c>
      <c r="H123" s="6" t="n"/>
      <c r="I123" s="6" t="n"/>
      <c r="J123" s="6" t="n"/>
      <c r="K123" s="6" t="n"/>
    </row>
    <row r="124">
      <c r="A124" s="4" t="n">
        <v>123</v>
      </c>
      <c r="B124" s="6" t="n"/>
      <c r="C124" s="6" t="n"/>
      <c r="D124" s="6" t="n"/>
      <c r="E124" s="6" t="n"/>
      <c r="F124" s="6" t="n"/>
      <c r="G124" s="4">
        <f>IF(OR(E124="",F124=""),"",IF(E124=F124,1,0))</f>
        <v/>
      </c>
      <c r="H124" s="6" t="n"/>
      <c r="I124" s="6" t="n"/>
      <c r="J124" s="6" t="n"/>
      <c r="K124" s="6" t="n"/>
    </row>
    <row r="125">
      <c r="A125" s="4" t="n">
        <v>124</v>
      </c>
      <c r="B125" s="6" t="n"/>
      <c r="C125" s="6" t="n"/>
      <c r="D125" s="6" t="n"/>
      <c r="E125" s="6" t="n"/>
      <c r="F125" s="6" t="n"/>
      <c r="G125" s="4">
        <f>IF(OR(E125="",F125=""),"",IF(E125=F125,1,0))</f>
        <v/>
      </c>
      <c r="H125" s="6" t="n"/>
      <c r="I125" s="6" t="n"/>
      <c r="J125" s="6" t="n"/>
      <c r="K125" s="6" t="n"/>
    </row>
    <row r="126">
      <c r="A126" s="4" t="n">
        <v>125</v>
      </c>
      <c r="B126" s="6" t="n"/>
      <c r="C126" s="6" t="n"/>
      <c r="D126" s="6" t="n"/>
      <c r="E126" s="6" t="n"/>
      <c r="F126" s="6" t="n"/>
      <c r="G126" s="4">
        <f>IF(OR(E126="",F126=""),"",IF(E126=F126,1,0))</f>
        <v/>
      </c>
      <c r="H126" s="6" t="n"/>
      <c r="I126" s="6" t="n"/>
      <c r="J126" s="6" t="n"/>
      <c r="K126" s="6" t="n"/>
    </row>
    <row r="127">
      <c r="A127" s="4" t="n">
        <v>126</v>
      </c>
      <c r="B127" s="6" t="n"/>
      <c r="C127" s="6" t="n"/>
      <c r="D127" s="6" t="n"/>
      <c r="E127" s="6" t="n"/>
      <c r="F127" s="6" t="n"/>
      <c r="G127" s="4">
        <f>IF(OR(E127="",F127=""),"",IF(E127=F127,1,0))</f>
        <v/>
      </c>
      <c r="H127" s="6" t="n"/>
      <c r="I127" s="6" t="n"/>
      <c r="J127" s="6" t="n"/>
      <c r="K127" s="6" t="n"/>
    </row>
    <row r="128">
      <c r="A128" s="4" t="n">
        <v>127</v>
      </c>
      <c r="B128" s="6" t="n"/>
      <c r="C128" s="6" t="n"/>
      <c r="D128" s="6" t="n"/>
      <c r="E128" s="6" t="n"/>
      <c r="F128" s="6" t="n"/>
      <c r="G128" s="4">
        <f>IF(OR(E128="",F128=""),"",IF(E128=F128,1,0))</f>
        <v/>
      </c>
      <c r="H128" s="6" t="n"/>
      <c r="I128" s="6" t="n"/>
      <c r="J128" s="6" t="n"/>
      <c r="K128" s="6" t="n"/>
    </row>
    <row r="129">
      <c r="A129" s="4" t="n">
        <v>128</v>
      </c>
      <c r="B129" s="6" t="n"/>
      <c r="C129" s="6" t="n"/>
      <c r="D129" s="6" t="n"/>
      <c r="E129" s="6" t="n"/>
      <c r="F129" s="6" t="n"/>
      <c r="G129" s="4">
        <f>IF(OR(E129="",F129=""),"",IF(E129=F129,1,0))</f>
        <v/>
      </c>
      <c r="H129" s="6" t="n"/>
      <c r="I129" s="6" t="n"/>
      <c r="J129" s="6" t="n"/>
      <c r="K129" s="6" t="n"/>
    </row>
    <row r="130">
      <c r="A130" s="4" t="n">
        <v>129</v>
      </c>
      <c r="B130" s="6" t="n"/>
      <c r="C130" s="6" t="n"/>
      <c r="D130" s="6" t="n"/>
      <c r="E130" s="6" t="n"/>
      <c r="F130" s="6" t="n"/>
      <c r="G130" s="4">
        <f>IF(OR(E130="",F130=""),"",IF(E130=F130,1,0))</f>
        <v/>
      </c>
      <c r="H130" s="6" t="n"/>
      <c r="I130" s="6" t="n"/>
      <c r="J130" s="6" t="n"/>
      <c r="K130" s="6" t="n"/>
    </row>
    <row r="131">
      <c r="A131" s="4" t="n">
        <v>130</v>
      </c>
      <c r="B131" s="6" t="n"/>
      <c r="C131" s="6" t="n"/>
      <c r="D131" s="6" t="n"/>
      <c r="E131" s="6" t="n"/>
      <c r="F131" s="6" t="n"/>
      <c r="G131" s="4">
        <f>IF(OR(E131="",F131=""),"",IF(E131=F131,1,0))</f>
        <v/>
      </c>
      <c r="H131" s="6" t="n"/>
      <c r="I131" s="6" t="n"/>
      <c r="J131" s="6" t="n"/>
      <c r="K131" s="6" t="n"/>
    </row>
    <row r="132">
      <c r="A132" s="4" t="n">
        <v>131</v>
      </c>
      <c r="B132" s="6" t="n"/>
      <c r="C132" s="6" t="n"/>
      <c r="D132" s="6" t="n"/>
      <c r="E132" s="6" t="n"/>
      <c r="F132" s="6" t="n"/>
      <c r="G132" s="4">
        <f>IF(OR(E132="",F132=""),"",IF(E132=F132,1,0))</f>
        <v/>
      </c>
      <c r="H132" s="6" t="n"/>
      <c r="I132" s="6" t="n"/>
      <c r="J132" s="6" t="n"/>
      <c r="K132" s="6" t="n"/>
    </row>
    <row r="133">
      <c r="A133" s="4" t="n">
        <v>132</v>
      </c>
      <c r="B133" s="6" t="n"/>
      <c r="C133" s="6" t="n"/>
      <c r="D133" s="6" t="n"/>
      <c r="E133" s="6" t="n"/>
      <c r="F133" s="6" t="n"/>
      <c r="G133" s="4">
        <f>IF(OR(E133="",F133=""),"",IF(E133=F133,1,0))</f>
        <v/>
      </c>
      <c r="H133" s="6" t="n"/>
      <c r="I133" s="6" t="n"/>
      <c r="J133" s="6" t="n"/>
      <c r="K133" s="6" t="n"/>
    </row>
    <row r="134">
      <c r="A134" s="4" t="n">
        <v>133</v>
      </c>
      <c r="B134" s="6" t="n"/>
      <c r="C134" s="6" t="n"/>
      <c r="D134" s="6" t="n"/>
      <c r="E134" s="6" t="n"/>
      <c r="F134" s="6" t="n"/>
      <c r="G134" s="4">
        <f>IF(OR(E134="",F134=""),"",IF(E134=F134,1,0))</f>
        <v/>
      </c>
      <c r="H134" s="6" t="n"/>
      <c r="I134" s="6" t="n"/>
      <c r="J134" s="6" t="n"/>
      <c r="K134" s="6" t="n"/>
    </row>
    <row r="135">
      <c r="A135" s="4" t="n">
        <v>134</v>
      </c>
      <c r="B135" s="6" t="n"/>
      <c r="C135" s="6" t="n"/>
      <c r="D135" s="6" t="n"/>
      <c r="E135" s="6" t="n"/>
      <c r="F135" s="6" t="n"/>
      <c r="G135" s="4">
        <f>IF(OR(E135="",F135=""),"",IF(E135=F135,1,0))</f>
        <v/>
      </c>
      <c r="H135" s="6" t="n"/>
      <c r="I135" s="6" t="n"/>
      <c r="J135" s="6" t="n"/>
      <c r="K135" s="6" t="n"/>
    </row>
    <row r="136">
      <c r="A136" s="4" t="n">
        <v>135</v>
      </c>
      <c r="B136" s="6" t="n"/>
      <c r="C136" s="6" t="n"/>
      <c r="D136" s="6" t="n"/>
      <c r="E136" s="6" t="n"/>
      <c r="F136" s="6" t="n"/>
      <c r="G136" s="4">
        <f>IF(OR(E136="",F136=""),"",IF(E136=F136,1,0))</f>
        <v/>
      </c>
      <c r="H136" s="6" t="n"/>
      <c r="I136" s="6" t="n"/>
      <c r="J136" s="6" t="n"/>
      <c r="K136" s="6" t="n"/>
    </row>
    <row r="137">
      <c r="A137" s="4" t="n">
        <v>136</v>
      </c>
      <c r="B137" s="6" t="n"/>
      <c r="C137" s="6" t="n"/>
      <c r="D137" s="6" t="n"/>
      <c r="E137" s="6" t="n"/>
      <c r="F137" s="6" t="n"/>
      <c r="G137" s="4">
        <f>IF(OR(E137="",F137=""),"",IF(E137=F137,1,0))</f>
        <v/>
      </c>
      <c r="H137" s="6" t="n"/>
      <c r="I137" s="6" t="n"/>
      <c r="J137" s="6" t="n"/>
      <c r="K137" s="6" t="n"/>
    </row>
    <row r="138">
      <c r="A138" s="4" t="n">
        <v>137</v>
      </c>
      <c r="B138" s="6" t="n"/>
      <c r="C138" s="6" t="n"/>
      <c r="D138" s="6" t="n"/>
      <c r="E138" s="6" t="n"/>
      <c r="F138" s="6" t="n"/>
      <c r="G138" s="4">
        <f>IF(OR(E138="",F138=""),"",IF(E138=F138,1,0))</f>
        <v/>
      </c>
      <c r="H138" s="6" t="n"/>
      <c r="I138" s="6" t="n"/>
      <c r="J138" s="6" t="n"/>
      <c r="K138" s="6" t="n"/>
    </row>
    <row r="139">
      <c r="A139" s="4" t="n">
        <v>138</v>
      </c>
      <c r="B139" s="6" t="n"/>
      <c r="C139" s="6" t="n"/>
      <c r="D139" s="6" t="n"/>
      <c r="E139" s="6" t="n"/>
      <c r="F139" s="6" t="n"/>
      <c r="G139" s="4">
        <f>IF(OR(E139="",F139=""),"",IF(E139=F139,1,0))</f>
        <v/>
      </c>
      <c r="H139" s="6" t="n"/>
      <c r="I139" s="6" t="n"/>
      <c r="J139" s="6" t="n"/>
      <c r="K139" s="6" t="n"/>
    </row>
    <row r="140">
      <c r="A140" s="4" t="n">
        <v>139</v>
      </c>
      <c r="B140" s="6" t="n"/>
      <c r="C140" s="6" t="n"/>
      <c r="D140" s="6" t="n"/>
      <c r="E140" s="6" t="n"/>
      <c r="F140" s="6" t="n"/>
      <c r="G140" s="4">
        <f>IF(OR(E140="",F140=""),"",IF(E140=F140,1,0))</f>
        <v/>
      </c>
      <c r="H140" s="6" t="n"/>
      <c r="I140" s="6" t="n"/>
      <c r="J140" s="6" t="n"/>
      <c r="K140" s="6" t="n"/>
    </row>
    <row r="141">
      <c r="A141" s="4" t="n">
        <v>140</v>
      </c>
      <c r="B141" s="6" t="n"/>
      <c r="C141" s="6" t="n"/>
      <c r="D141" s="6" t="n"/>
      <c r="E141" s="6" t="n"/>
      <c r="F141" s="6" t="n"/>
      <c r="G141" s="4">
        <f>IF(OR(E141="",F141=""),"",IF(E141=F141,1,0))</f>
        <v/>
      </c>
      <c r="H141" s="6" t="n"/>
      <c r="I141" s="6" t="n"/>
      <c r="J141" s="6" t="n"/>
      <c r="K141" s="6" t="n"/>
    </row>
    <row r="142">
      <c r="A142" s="4" t="n">
        <v>141</v>
      </c>
      <c r="B142" s="6" t="n"/>
      <c r="C142" s="6" t="n"/>
      <c r="D142" s="6" t="n"/>
      <c r="E142" s="6" t="n"/>
      <c r="F142" s="6" t="n"/>
      <c r="G142" s="4">
        <f>IF(OR(E142="",F142=""),"",IF(E142=F142,1,0))</f>
        <v/>
      </c>
      <c r="H142" s="6" t="n"/>
      <c r="I142" s="6" t="n"/>
      <c r="J142" s="6" t="n"/>
      <c r="K142" s="6" t="n"/>
    </row>
    <row r="143">
      <c r="A143" s="4" t="n">
        <v>142</v>
      </c>
      <c r="B143" s="6" t="n"/>
      <c r="C143" s="6" t="n"/>
      <c r="D143" s="6" t="n"/>
      <c r="E143" s="6" t="n"/>
      <c r="F143" s="6" t="n"/>
      <c r="G143" s="4">
        <f>IF(OR(E143="",F143=""),"",IF(E143=F143,1,0))</f>
        <v/>
      </c>
      <c r="H143" s="6" t="n"/>
      <c r="I143" s="6" t="n"/>
      <c r="J143" s="6" t="n"/>
      <c r="K143" s="6" t="n"/>
    </row>
    <row r="144">
      <c r="A144" s="4" t="n">
        <v>143</v>
      </c>
      <c r="B144" s="6" t="n"/>
      <c r="C144" s="6" t="n"/>
      <c r="D144" s="6" t="n"/>
      <c r="E144" s="6" t="n"/>
      <c r="F144" s="6" t="n"/>
      <c r="G144" s="4">
        <f>IF(OR(E144="",F144=""),"",IF(E144=F144,1,0))</f>
        <v/>
      </c>
      <c r="H144" s="6" t="n"/>
      <c r="I144" s="6" t="n"/>
      <c r="J144" s="6" t="n"/>
      <c r="K144" s="6" t="n"/>
    </row>
    <row r="145">
      <c r="A145" s="4" t="n">
        <v>144</v>
      </c>
      <c r="B145" s="6" t="n"/>
      <c r="C145" s="6" t="n"/>
      <c r="D145" s="6" t="n"/>
      <c r="E145" s="6" t="n"/>
      <c r="F145" s="6" t="n"/>
      <c r="G145" s="4">
        <f>IF(OR(E145="",F145=""),"",IF(E145=F145,1,0))</f>
        <v/>
      </c>
      <c r="H145" s="6" t="n"/>
      <c r="I145" s="6" t="n"/>
      <c r="J145" s="6" t="n"/>
      <c r="K145" s="6" t="n"/>
    </row>
    <row r="146">
      <c r="A146" s="4" t="n">
        <v>145</v>
      </c>
      <c r="B146" s="6" t="n"/>
      <c r="C146" s="6" t="n"/>
      <c r="D146" s="6" t="n"/>
      <c r="E146" s="6" t="n"/>
      <c r="F146" s="6" t="n"/>
      <c r="G146" s="4">
        <f>IF(OR(E146="",F146=""),"",IF(E146=F146,1,0))</f>
        <v/>
      </c>
      <c r="H146" s="6" t="n"/>
      <c r="I146" s="6" t="n"/>
      <c r="J146" s="6" t="n"/>
      <c r="K146" s="6" t="n"/>
    </row>
    <row r="147">
      <c r="A147" s="4" t="n">
        <v>146</v>
      </c>
      <c r="B147" s="6" t="n"/>
      <c r="C147" s="6" t="n"/>
      <c r="D147" s="6" t="n"/>
      <c r="E147" s="6" t="n"/>
      <c r="F147" s="6" t="n"/>
      <c r="G147" s="4">
        <f>IF(OR(E147="",F147=""),"",IF(E147=F147,1,0))</f>
        <v/>
      </c>
      <c r="H147" s="6" t="n"/>
      <c r="I147" s="6" t="n"/>
      <c r="J147" s="6" t="n"/>
      <c r="K147" s="6" t="n"/>
    </row>
    <row r="148">
      <c r="A148" s="4" t="n">
        <v>147</v>
      </c>
      <c r="B148" s="6" t="n"/>
      <c r="C148" s="6" t="n"/>
      <c r="D148" s="6" t="n"/>
      <c r="E148" s="6" t="n"/>
      <c r="F148" s="6" t="n"/>
      <c r="G148" s="4">
        <f>IF(OR(E148="",F148=""),"",IF(E148=F148,1,0))</f>
        <v/>
      </c>
      <c r="H148" s="6" t="n"/>
      <c r="I148" s="6" t="n"/>
      <c r="J148" s="6" t="n"/>
      <c r="K148" s="6" t="n"/>
    </row>
    <row r="149">
      <c r="A149" s="4" t="n">
        <v>148</v>
      </c>
      <c r="B149" s="6" t="n"/>
      <c r="C149" s="6" t="n"/>
      <c r="D149" s="6" t="n"/>
      <c r="E149" s="6" t="n"/>
      <c r="F149" s="6" t="n"/>
      <c r="G149" s="4">
        <f>IF(OR(E149="",F149=""),"",IF(E149=F149,1,0))</f>
        <v/>
      </c>
      <c r="H149" s="6" t="n"/>
      <c r="I149" s="6" t="n"/>
      <c r="J149" s="6" t="n"/>
      <c r="K149" s="6" t="n"/>
    </row>
    <row r="150">
      <c r="A150" s="4" t="n">
        <v>149</v>
      </c>
      <c r="B150" s="6" t="n"/>
      <c r="C150" s="6" t="n"/>
      <c r="D150" s="6" t="n"/>
      <c r="E150" s="6" t="n"/>
      <c r="F150" s="6" t="n"/>
      <c r="G150" s="4">
        <f>IF(OR(E150="",F150=""),"",IF(E150=F150,1,0))</f>
        <v/>
      </c>
      <c r="H150" s="6" t="n"/>
      <c r="I150" s="6" t="n"/>
      <c r="J150" s="6" t="n"/>
      <c r="K150" s="6" t="n"/>
    </row>
    <row r="151">
      <c r="A151" s="4" t="n">
        <v>150</v>
      </c>
      <c r="B151" s="6" t="n"/>
      <c r="C151" s="6" t="n"/>
      <c r="D151" s="6" t="n"/>
      <c r="E151" s="6" t="n"/>
      <c r="F151" s="6" t="n"/>
      <c r="G151" s="4">
        <f>IF(OR(E151="",F151=""),"",IF(E151=F151,1,0))</f>
        <v/>
      </c>
      <c r="H151" s="6" t="n"/>
      <c r="I151" s="6" t="n"/>
      <c r="J151" s="6" t="n"/>
      <c r="K151" s="6" t="n"/>
    </row>
    <row r="152">
      <c r="A152" s="4" t="n">
        <v>151</v>
      </c>
      <c r="B152" s="6" t="n"/>
      <c r="C152" s="6" t="n"/>
      <c r="D152" s="6" t="n"/>
      <c r="E152" s="6" t="n"/>
      <c r="F152" s="6" t="n"/>
      <c r="G152" s="4">
        <f>IF(OR(E152="",F152=""),"",IF(E152=F152,1,0))</f>
        <v/>
      </c>
      <c r="H152" s="6" t="n"/>
      <c r="I152" s="6" t="n"/>
      <c r="J152" s="6" t="n"/>
      <c r="K152" s="6" t="n"/>
    </row>
    <row r="153">
      <c r="A153" s="4" t="n">
        <v>152</v>
      </c>
      <c r="B153" s="6" t="n"/>
      <c r="C153" s="6" t="n"/>
      <c r="D153" s="6" t="n"/>
      <c r="E153" s="6" t="n"/>
      <c r="F153" s="6" t="n"/>
      <c r="G153" s="4">
        <f>IF(OR(E153="",F153=""),"",IF(E153=F153,1,0))</f>
        <v/>
      </c>
      <c r="H153" s="6" t="n"/>
      <c r="I153" s="6" t="n"/>
      <c r="J153" s="6" t="n"/>
      <c r="K153" s="6" t="n"/>
    </row>
    <row r="154">
      <c r="A154" s="4" t="n">
        <v>153</v>
      </c>
      <c r="B154" s="6" t="n"/>
      <c r="C154" s="6" t="n"/>
      <c r="D154" s="6" t="n"/>
      <c r="E154" s="6" t="n"/>
      <c r="F154" s="6" t="n"/>
      <c r="G154" s="4">
        <f>IF(OR(E154="",F154=""),"",IF(E154=F154,1,0))</f>
        <v/>
      </c>
      <c r="H154" s="6" t="n"/>
      <c r="I154" s="6" t="n"/>
      <c r="J154" s="6" t="n"/>
      <c r="K154" s="6" t="n"/>
    </row>
    <row r="155">
      <c r="A155" s="4" t="n">
        <v>154</v>
      </c>
      <c r="B155" s="6" t="n"/>
      <c r="C155" s="6" t="n"/>
      <c r="D155" s="6" t="n"/>
      <c r="E155" s="6" t="n"/>
      <c r="F155" s="6" t="n"/>
      <c r="G155" s="4">
        <f>IF(OR(E155="",F155=""),"",IF(E155=F155,1,0))</f>
        <v/>
      </c>
      <c r="H155" s="6" t="n"/>
      <c r="I155" s="6" t="n"/>
      <c r="J155" s="6" t="n"/>
      <c r="K155" s="6" t="n"/>
    </row>
    <row r="156">
      <c r="A156" s="4" t="n">
        <v>155</v>
      </c>
      <c r="B156" s="6" t="n"/>
      <c r="C156" s="6" t="n"/>
      <c r="D156" s="6" t="n"/>
      <c r="E156" s="6" t="n"/>
      <c r="F156" s="6" t="n"/>
      <c r="G156" s="4">
        <f>IF(OR(E156="",F156=""),"",IF(E156=F156,1,0))</f>
        <v/>
      </c>
      <c r="H156" s="6" t="n"/>
      <c r="I156" s="6" t="n"/>
      <c r="J156" s="6" t="n"/>
      <c r="K156" s="6" t="n"/>
    </row>
    <row r="157">
      <c r="A157" s="4" t="n">
        <v>156</v>
      </c>
      <c r="B157" s="6" t="n"/>
      <c r="C157" s="6" t="n"/>
      <c r="D157" s="6" t="n"/>
      <c r="E157" s="6" t="n"/>
      <c r="F157" s="6" t="n"/>
      <c r="G157" s="4">
        <f>IF(OR(E157="",F157=""),"",IF(E157=F157,1,0))</f>
        <v/>
      </c>
      <c r="H157" s="6" t="n"/>
      <c r="I157" s="6" t="n"/>
      <c r="J157" s="6" t="n"/>
      <c r="K157" s="6" t="n"/>
    </row>
    <row r="158">
      <c r="A158" s="4" t="n">
        <v>157</v>
      </c>
      <c r="B158" s="6" t="n"/>
      <c r="C158" s="6" t="n"/>
      <c r="D158" s="6" t="n"/>
      <c r="E158" s="6" t="n"/>
      <c r="F158" s="6" t="n"/>
      <c r="G158" s="4">
        <f>IF(OR(E158="",F158=""),"",IF(E158=F158,1,0))</f>
        <v/>
      </c>
      <c r="H158" s="6" t="n"/>
      <c r="I158" s="6" t="n"/>
      <c r="J158" s="6" t="n"/>
      <c r="K158" s="6" t="n"/>
    </row>
    <row r="159">
      <c r="A159" s="4" t="n">
        <v>158</v>
      </c>
      <c r="B159" s="6" t="n"/>
      <c r="C159" s="6" t="n"/>
      <c r="D159" s="6" t="n"/>
      <c r="E159" s="6" t="n"/>
      <c r="F159" s="6" t="n"/>
      <c r="G159" s="4">
        <f>IF(OR(E159="",F159=""),"",IF(E159=F159,1,0))</f>
        <v/>
      </c>
      <c r="H159" s="6" t="n"/>
      <c r="I159" s="6" t="n"/>
      <c r="J159" s="6" t="n"/>
      <c r="K159" s="6" t="n"/>
    </row>
    <row r="160">
      <c r="A160" s="4" t="n">
        <v>159</v>
      </c>
      <c r="B160" s="6" t="n"/>
      <c r="C160" s="6" t="n"/>
      <c r="D160" s="6" t="n"/>
      <c r="E160" s="6" t="n"/>
      <c r="F160" s="6" t="n"/>
      <c r="G160" s="4">
        <f>IF(OR(E160="",F160=""),"",IF(E160=F160,1,0))</f>
        <v/>
      </c>
      <c r="H160" s="6" t="n"/>
      <c r="I160" s="6" t="n"/>
      <c r="J160" s="6" t="n"/>
      <c r="K160" s="6" t="n"/>
    </row>
    <row r="161">
      <c r="A161" s="4" t="n">
        <v>160</v>
      </c>
      <c r="B161" s="6" t="n"/>
      <c r="C161" s="6" t="n"/>
      <c r="D161" s="6" t="n"/>
      <c r="E161" s="6" t="n"/>
      <c r="F161" s="6" t="n"/>
      <c r="G161" s="4">
        <f>IF(OR(E161="",F161=""),"",IF(E161=F161,1,0))</f>
        <v/>
      </c>
      <c r="H161" s="6" t="n"/>
      <c r="I161" s="6" t="n"/>
      <c r="J161" s="6" t="n"/>
      <c r="K161" s="6" t="n"/>
    </row>
    <row r="162">
      <c r="A162" s="4" t="n">
        <v>161</v>
      </c>
      <c r="B162" s="6" t="n"/>
      <c r="C162" s="6" t="n"/>
      <c r="D162" s="6" t="n"/>
      <c r="E162" s="6" t="n"/>
      <c r="F162" s="6" t="n"/>
      <c r="G162" s="4">
        <f>IF(OR(E162="",F162=""),"",IF(E162=F162,1,0))</f>
        <v/>
      </c>
      <c r="H162" s="6" t="n"/>
      <c r="I162" s="6" t="n"/>
      <c r="J162" s="6" t="n"/>
      <c r="K162" s="6" t="n"/>
    </row>
    <row r="163">
      <c r="A163" s="4" t="n">
        <v>162</v>
      </c>
      <c r="B163" s="6" t="n"/>
      <c r="C163" s="6" t="n"/>
      <c r="D163" s="6" t="n"/>
      <c r="E163" s="6" t="n"/>
      <c r="F163" s="6" t="n"/>
      <c r="G163" s="4">
        <f>IF(OR(E163="",F163=""),"",IF(E163=F163,1,0))</f>
        <v/>
      </c>
      <c r="H163" s="6" t="n"/>
      <c r="I163" s="6" t="n"/>
      <c r="J163" s="6" t="n"/>
      <c r="K163" s="6" t="n"/>
    </row>
    <row r="164">
      <c r="A164" s="4" t="n">
        <v>163</v>
      </c>
      <c r="B164" s="6" t="n"/>
      <c r="C164" s="6" t="n"/>
      <c r="D164" s="6" t="n"/>
      <c r="E164" s="6" t="n"/>
      <c r="F164" s="6" t="n"/>
      <c r="G164" s="4">
        <f>IF(OR(E164="",F164=""),"",IF(E164=F164,1,0))</f>
        <v/>
      </c>
      <c r="H164" s="6" t="n"/>
      <c r="I164" s="6" t="n"/>
      <c r="J164" s="6" t="n"/>
      <c r="K164" s="6" t="n"/>
    </row>
    <row r="165">
      <c r="A165" s="4" t="n">
        <v>164</v>
      </c>
      <c r="B165" s="6" t="n"/>
      <c r="C165" s="6" t="n"/>
      <c r="D165" s="6" t="n"/>
      <c r="E165" s="6" t="n"/>
      <c r="F165" s="6" t="n"/>
      <c r="G165" s="4">
        <f>IF(OR(E165="",F165=""),"",IF(E165=F165,1,0))</f>
        <v/>
      </c>
      <c r="H165" s="6" t="n"/>
      <c r="I165" s="6" t="n"/>
      <c r="J165" s="6" t="n"/>
      <c r="K165" s="6" t="n"/>
    </row>
    <row r="166">
      <c r="A166" s="4" t="n">
        <v>165</v>
      </c>
      <c r="B166" s="6" t="n"/>
      <c r="C166" s="6" t="n"/>
      <c r="D166" s="6" t="n"/>
      <c r="E166" s="6" t="n"/>
      <c r="F166" s="6" t="n"/>
      <c r="G166" s="4">
        <f>IF(OR(E166="",F166=""),"",IF(E166=F166,1,0))</f>
        <v/>
      </c>
      <c r="H166" s="6" t="n"/>
      <c r="I166" s="6" t="n"/>
      <c r="J166" s="6" t="n"/>
      <c r="K166" s="6" t="n"/>
    </row>
    <row r="167">
      <c r="A167" s="4" t="n">
        <v>166</v>
      </c>
      <c r="B167" s="6" t="n"/>
      <c r="C167" s="6" t="n"/>
      <c r="D167" s="6" t="n"/>
      <c r="E167" s="6" t="n"/>
      <c r="F167" s="6" t="n"/>
      <c r="G167" s="4">
        <f>IF(OR(E167="",F167=""),"",IF(E167=F167,1,0))</f>
        <v/>
      </c>
      <c r="H167" s="6" t="n"/>
      <c r="I167" s="6" t="n"/>
      <c r="J167" s="6" t="n"/>
      <c r="K167" s="6" t="n"/>
    </row>
    <row r="168">
      <c r="A168" s="4" t="n">
        <v>167</v>
      </c>
      <c r="B168" s="6" t="n"/>
      <c r="C168" s="6" t="n"/>
      <c r="D168" s="6" t="n"/>
      <c r="E168" s="6" t="n"/>
      <c r="F168" s="6" t="n"/>
      <c r="G168" s="4">
        <f>IF(OR(E168="",F168=""),"",IF(E168=F168,1,0))</f>
        <v/>
      </c>
      <c r="H168" s="6" t="n"/>
      <c r="I168" s="6" t="n"/>
      <c r="J168" s="6" t="n"/>
      <c r="K168" s="6" t="n"/>
    </row>
    <row r="169">
      <c r="A169" s="4" t="n">
        <v>168</v>
      </c>
      <c r="B169" s="6" t="n"/>
      <c r="C169" s="6" t="n"/>
      <c r="D169" s="6" t="n"/>
      <c r="E169" s="6" t="n"/>
      <c r="F169" s="6" t="n"/>
      <c r="G169" s="4">
        <f>IF(OR(E169="",F169=""),"",IF(E169=F169,1,0))</f>
        <v/>
      </c>
      <c r="H169" s="6" t="n"/>
      <c r="I169" s="6" t="n"/>
      <c r="J169" s="6" t="n"/>
      <c r="K169" s="6" t="n"/>
    </row>
    <row r="170">
      <c r="A170" s="4" t="n">
        <v>169</v>
      </c>
      <c r="B170" s="6" t="n"/>
      <c r="C170" s="6" t="n"/>
      <c r="D170" s="6" t="n"/>
      <c r="E170" s="6" t="n"/>
      <c r="F170" s="6" t="n"/>
      <c r="G170" s="4">
        <f>IF(OR(E170="",F170=""),"",IF(E170=F170,1,0))</f>
        <v/>
      </c>
      <c r="H170" s="6" t="n"/>
      <c r="I170" s="6" t="n"/>
      <c r="J170" s="6" t="n"/>
      <c r="K170" s="6" t="n"/>
    </row>
    <row r="171">
      <c r="A171" s="4" t="n">
        <v>170</v>
      </c>
      <c r="B171" s="6" t="n"/>
      <c r="C171" s="6" t="n"/>
      <c r="D171" s="6" t="n"/>
      <c r="E171" s="6" t="n"/>
      <c r="F171" s="6" t="n"/>
      <c r="G171" s="4">
        <f>IF(OR(E171="",F171=""),"",IF(E171=F171,1,0))</f>
        <v/>
      </c>
      <c r="H171" s="6" t="n"/>
      <c r="I171" s="6" t="n"/>
      <c r="J171" s="6" t="n"/>
      <c r="K171" s="6" t="n"/>
    </row>
    <row r="172">
      <c r="A172" s="4" t="n">
        <v>171</v>
      </c>
      <c r="B172" s="6" t="n"/>
      <c r="C172" s="6" t="n"/>
      <c r="D172" s="6" t="n"/>
      <c r="E172" s="6" t="n"/>
      <c r="F172" s="6" t="n"/>
      <c r="G172" s="4">
        <f>IF(OR(E172="",F172=""),"",IF(E172=F172,1,0))</f>
        <v/>
      </c>
      <c r="H172" s="6" t="n"/>
      <c r="I172" s="6" t="n"/>
      <c r="J172" s="6" t="n"/>
      <c r="K172" s="6" t="n"/>
    </row>
    <row r="173">
      <c r="A173" s="4" t="n">
        <v>172</v>
      </c>
      <c r="B173" s="6" t="n"/>
      <c r="C173" s="6" t="n"/>
      <c r="D173" s="6" t="n"/>
      <c r="E173" s="6" t="n"/>
      <c r="F173" s="6" t="n"/>
      <c r="G173" s="4">
        <f>IF(OR(E173="",F173=""),"",IF(E173=F173,1,0))</f>
        <v/>
      </c>
      <c r="H173" s="6" t="n"/>
      <c r="I173" s="6" t="n"/>
      <c r="J173" s="6" t="n"/>
      <c r="K173" s="6" t="n"/>
    </row>
    <row r="174">
      <c r="A174" s="4" t="n">
        <v>173</v>
      </c>
      <c r="B174" s="6" t="n"/>
      <c r="C174" s="6" t="n"/>
      <c r="D174" s="6" t="n"/>
      <c r="E174" s="6" t="n"/>
      <c r="F174" s="6" t="n"/>
      <c r="G174" s="4">
        <f>IF(OR(E174="",F174=""),"",IF(E174=F174,1,0))</f>
        <v/>
      </c>
      <c r="H174" s="6" t="n"/>
      <c r="I174" s="6" t="n"/>
      <c r="J174" s="6" t="n"/>
      <c r="K174" s="6" t="n"/>
    </row>
    <row r="175">
      <c r="A175" s="4" t="n">
        <v>174</v>
      </c>
      <c r="B175" s="6" t="n"/>
      <c r="C175" s="6" t="n"/>
      <c r="D175" s="6" t="n"/>
      <c r="E175" s="6" t="n"/>
      <c r="F175" s="6" t="n"/>
      <c r="G175" s="4">
        <f>IF(OR(E175="",F175=""),"",IF(E175=F175,1,0))</f>
        <v/>
      </c>
      <c r="H175" s="6" t="n"/>
      <c r="I175" s="6" t="n"/>
      <c r="J175" s="6" t="n"/>
      <c r="K175" s="6" t="n"/>
    </row>
    <row r="176">
      <c r="A176" s="4" t="n">
        <v>175</v>
      </c>
      <c r="B176" s="6" t="n"/>
      <c r="C176" s="6" t="n"/>
      <c r="D176" s="6" t="n"/>
      <c r="E176" s="6" t="n"/>
      <c r="F176" s="6" t="n"/>
      <c r="G176" s="4">
        <f>IF(OR(E176="",F176=""),"",IF(E176=F176,1,0))</f>
        <v/>
      </c>
      <c r="H176" s="6" t="n"/>
      <c r="I176" s="6" t="n"/>
      <c r="J176" s="6" t="n"/>
      <c r="K176" s="6" t="n"/>
    </row>
    <row r="177">
      <c r="A177" s="4" t="n">
        <v>176</v>
      </c>
      <c r="B177" s="6" t="n"/>
      <c r="C177" s="6" t="n"/>
      <c r="D177" s="6" t="n"/>
      <c r="E177" s="6" t="n"/>
      <c r="F177" s="6" t="n"/>
      <c r="G177" s="4">
        <f>IF(OR(E177="",F177=""),"",IF(E177=F177,1,0))</f>
        <v/>
      </c>
      <c r="H177" s="6" t="n"/>
      <c r="I177" s="6" t="n"/>
      <c r="J177" s="6" t="n"/>
      <c r="K177" s="6" t="n"/>
    </row>
    <row r="178">
      <c r="A178" s="4" t="n">
        <v>177</v>
      </c>
      <c r="B178" s="6" t="n"/>
      <c r="C178" s="6" t="n"/>
      <c r="D178" s="6" t="n"/>
      <c r="E178" s="6" t="n"/>
      <c r="F178" s="6" t="n"/>
      <c r="G178" s="4">
        <f>IF(OR(E178="",F178=""),"",IF(E178=F178,1,0))</f>
        <v/>
      </c>
      <c r="H178" s="6" t="n"/>
      <c r="I178" s="6" t="n"/>
      <c r="J178" s="6" t="n"/>
      <c r="K178" s="6" t="n"/>
    </row>
    <row r="179">
      <c r="A179" s="4" t="n">
        <v>178</v>
      </c>
      <c r="B179" s="6" t="n"/>
      <c r="C179" s="6" t="n"/>
      <c r="D179" s="6" t="n"/>
      <c r="E179" s="6" t="n"/>
      <c r="F179" s="6" t="n"/>
      <c r="G179" s="4">
        <f>IF(OR(E179="",F179=""),"",IF(E179=F179,1,0))</f>
        <v/>
      </c>
      <c r="H179" s="6" t="n"/>
      <c r="I179" s="6" t="n"/>
      <c r="J179" s="6" t="n"/>
      <c r="K179" s="6" t="n"/>
    </row>
    <row r="180">
      <c r="A180" s="4" t="n">
        <v>179</v>
      </c>
      <c r="B180" s="6" t="n"/>
      <c r="C180" s="6" t="n"/>
      <c r="D180" s="6" t="n"/>
      <c r="E180" s="6" t="n"/>
      <c r="F180" s="6" t="n"/>
      <c r="G180" s="4">
        <f>IF(OR(E180="",F180=""),"",IF(E180=F180,1,0))</f>
        <v/>
      </c>
      <c r="H180" s="6" t="n"/>
      <c r="I180" s="6" t="n"/>
      <c r="J180" s="6" t="n"/>
      <c r="K180" s="6" t="n"/>
    </row>
    <row r="181">
      <c r="A181" s="4" t="n">
        <v>180</v>
      </c>
      <c r="B181" s="6" t="n"/>
      <c r="C181" s="6" t="n"/>
      <c r="D181" s="6" t="n"/>
      <c r="E181" s="6" t="n"/>
      <c r="F181" s="6" t="n"/>
      <c r="G181" s="4">
        <f>IF(OR(E181="",F181=""),"",IF(E181=F181,1,0))</f>
        <v/>
      </c>
      <c r="H181" s="6" t="n"/>
      <c r="I181" s="6" t="n"/>
      <c r="J181" s="6" t="n"/>
      <c r="K181" s="6" t="n"/>
    </row>
    <row r="182">
      <c r="A182" s="4" t="n">
        <v>181</v>
      </c>
      <c r="B182" s="6" t="n"/>
      <c r="C182" s="6" t="n"/>
      <c r="D182" s="6" t="n"/>
      <c r="E182" s="6" t="n"/>
      <c r="F182" s="6" t="n"/>
      <c r="G182" s="4">
        <f>IF(OR(E182="",F182=""),"",IF(E182=F182,1,0))</f>
        <v/>
      </c>
      <c r="H182" s="6" t="n"/>
      <c r="I182" s="6" t="n"/>
      <c r="J182" s="6" t="n"/>
      <c r="K182" s="6" t="n"/>
    </row>
    <row r="183">
      <c r="A183" s="4" t="n">
        <v>182</v>
      </c>
      <c r="B183" s="6" t="n"/>
      <c r="C183" s="6" t="n"/>
      <c r="D183" s="6" t="n"/>
      <c r="E183" s="6" t="n"/>
      <c r="F183" s="6" t="n"/>
      <c r="G183" s="4">
        <f>IF(OR(E183="",F183=""),"",IF(E183=F183,1,0))</f>
        <v/>
      </c>
      <c r="H183" s="6" t="n"/>
      <c r="I183" s="6" t="n"/>
      <c r="J183" s="6" t="n"/>
      <c r="K183" s="6" t="n"/>
    </row>
    <row r="184">
      <c r="A184" s="4" t="n">
        <v>183</v>
      </c>
      <c r="B184" s="6" t="n"/>
      <c r="C184" s="6" t="n"/>
      <c r="D184" s="6" t="n"/>
      <c r="E184" s="6" t="n"/>
      <c r="F184" s="6" t="n"/>
      <c r="G184" s="4">
        <f>IF(OR(E184="",F184=""),"",IF(E184=F184,1,0))</f>
        <v/>
      </c>
      <c r="H184" s="6" t="n"/>
      <c r="I184" s="6" t="n"/>
      <c r="J184" s="6" t="n"/>
      <c r="K184" s="6" t="n"/>
    </row>
    <row r="185">
      <c r="A185" s="4" t="n">
        <v>184</v>
      </c>
      <c r="B185" s="6" t="n"/>
      <c r="C185" s="6" t="n"/>
      <c r="D185" s="6" t="n"/>
      <c r="E185" s="6" t="n"/>
      <c r="F185" s="6" t="n"/>
      <c r="G185" s="4">
        <f>IF(OR(E185="",F185=""),"",IF(E185=F185,1,0))</f>
        <v/>
      </c>
      <c r="H185" s="6" t="n"/>
      <c r="I185" s="6" t="n"/>
      <c r="J185" s="6" t="n"/>
      <c r="K185" s="6" t="n"/>
    </row>
    <row r="186">
      <c r="A186" s="4" t="n">
        <v>185</v>
      </c>
      <c r="B186" s="6" t="n"/>
      <c r="C186" s="6" t="n"/>
      <c r="D186" s="6" t="n"/>
      <c r="E186" s="6" t="n"/>
      <c r="F186" s="6" t="n"/>
      <c r="G186" s="4">
        <f>IF(OR(E186="",F186=""),"",IF(E186=F186,1,0))</f>
        <v/>
      </c>
      <c r="H186" s="6" t="n"/>
      <c r="I186" s="6" t="n"/>
      <c r="J186" s="6" t="n"/>
      <c r="K186" s="6" t="n"/>
    </row>
    <row r="187">
      <c r="A187" s="4" t="n">
        <v>186</v>
      </c>
      <c r="B187" s="6" t="n"/>
      <c r="C187" s="6" t="n"/>
      <c r="D187" s="6" t="n"/>
      <c r="E187" s="6" t="n"/>
      <c r="F187" s="6" t="n"/>
      <c r="G187" s="4">
        <f>IF(OR(E187="",F187=""),"",IF(E187=F187,1,0))</f>
        <v/>
      </c>
      <c r="H187" s="6" t="n"/>
      <c r="I187" s="6" t="n"/>
      <c r="J187" s="6" t="n"/>
      <c r="K187" s="6" t="n"/>
    </row>
    <row r="188">
      <c r="A188" s="4" t="n">
        <v>187</v>
      </c>
      <c r="B188" s="6" t="n"/>
      <c r="C188" s="6" t="n"/>
      <c r="D188" s="6" t="n"/>
      <c r="E188" s="6" t="n"/>
      <c r="F188" s="6" t="n"/>
      <c r="G188" s="4">
        <f>IF(OR(E188="",F188=""),"",IF(E188=F188,1,0))</f>
        <v/>
      </c>
      <c r="H188" s="6" t="n"/>
      <c r="I188" s="6" t="n"/>
      <c r="J188" s="6" t="n"/>
      <c r="K188" s="6" t="n"/>
    </row>
    <row r="189">
      <c r="A189" s="4" t="n">
        <v>188</v>
      </c>
      <c r="B189" s="6" t="n"/>
      <c r="C189" s="6" t="n"/>
      <c r="D189" s="6" t="n"/>
      <c r="E189" s="6" t="n"/>
      <c r="F189" s="6" t="n"/>
      <c r="G189" s="4">
        <f>IF(OR(E189="",F189=""),"",IF(E189=F189,1,0))</f>
        <v/>
      </c>
      <c r="H189" s="6" t="n"/>
      <c r="I189" s="6" t="n"/>
      <c r="J189" s="6" t="n"/>
      <c r="K189" s="6" t="n"/>
    </row>
    <row r="190">
      <c r="A190" s="4" t="n">
        <v>189</v>
      </c>
      <c r="B190" s="6" t="n"/>
      <c r="C190" s="6" t="n"/>
      <c r="D190" s="6" t="n"/>
      <c r="E190" s="6" t="n"/>
      <c r="F190" s="6" t="n"/>
      <c r="G190" s="4">
        <f>IF(OR(E190="",F190=""),"",IF(E190=F190,1,0))</f>
        <v/>
      </c>
      <c r="H190" s="6" t="n"/>
      <c r="I190" s="6" t="n"/>
      <c r="J190" s="6" t="n"/>
      <c r="K190" s="6" t="n"/>
    </row>
    <row r="191">
      <c r="A191" s="4" t="n">
        <v>190</v>
      </c>
      <c r="B191" s="6" t="n"/>
      <c r="C191" s="6" t="n"/>
      <c r="D191" s="6" t="n"/>
      <c r="E191" s="6" t="n"/>
      <c r="F191" s="6" t="n"/>
      <c r="G191" s="4">
        <f>IF(OR(E191="",F191=""),"",IF(E191=F191,1,0))</f>
        <v/>
      </c>
      <c r="H191" s="6" t="n"/>
      <c r="I191" s="6" t="n"/>
      <c r="J191" s="6" t="n"/>
      <c r="K191" s="6" t="n"/>
    </row>
    <row r="192">
      <c r="A192" s="4" t="n">
        <v>191</v>
      </c>
      <c r="B192" s="6" t="n"/>
      <c r="C192" s="6" t="n"/>
      <c r="D192" s="6" t="n"/>
      <c r="E192" s="6" t="n"/>
      <c r="F192" s="6" t="n"/>
      <c r="G192" s="4">
        <f>IF(OR(E192="",F192=""),"",IF(E192=F192,1,0))</f>
        <v/>
      </c>
      <c r="H192" s="6" t="n"/>
      <c r="I192" s="6" t="n"/>
      <c r="J192" s="6" t="n"/>
      <c r="K192" s="6" t="n"/>
    </row>
    <row r="193">
      <c r="A193" s="4" t="n">
        <v>192</v>
      </c>
      <c r="B193" s="6" t="n"/>
      <c r="C193" s="6" t="n"/>
      <c r="D193" s="6" t="n"/>
      <c r="E193" s="6" t="n"/>
      <c r="F193" s="6" t="n"/>
      <c r="G193" s="4">
        <f>IF(OR(E193="",F193=""),"",IF(E193=F193,1,0))</f>
        <v/>
      </c>
      <c r="H193" s="6" t="n"/>
      <c r="I193" s="6" t="n"/>
      <c r="J193" s="6" t="n"/>
      <c r="K193" s="6" t="n"/>
    </row>
    <row r="194">
      <c r="A194" s="4" t="n">
        <v>193</v>
      </c>
      <c r="B194" s="6" t="n"/>
      <c r="C194" s="6" t="n"/>
      <c r="D194" s="6" t="n"/>
      <c r="E194" s="6" t="n"/>
      <c r="F194" s="6" t="n"/>
      <c r="G194" s="4">
        <f>IF(OR(E194="",F194=""),"",IF(E194=F194,1,0))</f>
        <v/>
      </c>
      <c r="H194" s="6" t="n"/>
      <c r="I194" s="6" t="n"/>
      <c r="J194" s="6" t="n"/>
      <c r="K194" s="6" t="n"/>
    </row>
    <row r="195">
      <c r="A195" s="4" t="n">
        <v>194</v>
      </c>
      <c r="B195" s="6" t="n"/>
      <c r="C195" s="6" t="n"/>
      <c r="D195" s="6" t="n"/>
      <c r="E195" s="6" t="n"/>
      <c r="F195" s="6" t="n"/>
      <c r="G195" s="4">
        <f>IF(OR(E195="",F195=""),"",IF(E195=F195,1,0))</f>
        <v/>
      </c>
      <c r="H195" s="6" t="n"/>
      <c r="I195" s="6" t="n"/>
      <c r="J195" s="6" t="n"/>
      <c r="K195" s="6" t="n"/>
    </row>
    <row r="196">
      <c r="A196" s="4" t="n">
        <v>195</v>
      </c>
      <c r="B196" s="6" t="n"/>
      <c r="C196" s="6" t="n"/>
      <c r="D196" s="6" t="n"/>
      <c r="E196" s="6" t="n"/>
      <c r="F196" s="6" t="n"/>
      <c r="G196" s="4">
        <f>IF(OR(E196="",F196=""),"",IF(E196=F196,1,0))</f>
        <v/>
      </c>
      <c r="H196" s="6" t="n"/>
      <c r="I196" s="6" t="n"/>
      <c r="J196" s="6" t="n"/>
      <c r="K196" s="6" t="n"/>
    </row>
    <row r="197">
      <c r="A197" s="4" t="n">
        <v>196</v>
      </c>
      <c r="B197" s="6" t="n"/>
      <c r="C197" s="6" t="n"/>
      <c r="D197" s="6" t="n"/>
      <c r="E197" s="6" t="n"/>
      <c r="F197" s="6" t="n"/>
      <c r="G197" s="4">
        <f>IF(OR(E197="",F197=""),"",IF(E197=F197,1,0))</f>
        <v/>
      </c>
      <c r="H197" s="6" t="n"/>
      <c r="I197" s="6" t="n"/>
      <c r="J197" s="6" t="n"/>
      <c r="K197" s="6" t="n"/>
    </row>
    <row r="198">
      <c r="A198" s="4" t="n">
        <v>197</v>
      </c>
      <c r="B198" s="6" t="n"/>
      <c r="C198" s="6" t="n"/>
      <c r="D198" s="6" t="n"/>
      <c r="E198" s="6" t="n"/>
      <c r="F198" s="6" t="n"/>
      <c r="G198" s="4">
        <f>IF(OR(E198="",F198=""),"",IF(E198=F198,1,0))</f>
        <v/>
      </c>
      <c r="H198" s="6" t="n"/>
      <c r="I198" s="6" t="n"/>
      <c r="J198" s="6" t="n"/>
      <c r="K198" s="6" t="n"/>
    </row>
    <row r="199">
      <c r="A199" s="4" t="n">
        <v>198</v>
      </c>
      <c r="B199" s="6" t="n"/>
      <c r="C199" s="6" t="n"/>
      <c r="D199" s="6" t="n"/>
      <c r="E199" s="6" t="n"/>
      <c r="F199" s="6" t="n"/>
      <c r="G199" s="4">
        <f>IF(OR(E199="",F199=""),"",IF(E199=F199,1,0))</f>
        <v/>
      </c>
      <c r="H199" s="6" t="n"/>
      <c r="I199" s="6" t="n"/>
      <c r="J199" s="6" t="n"/>
      <c r="K199" s="6" t="n"/>
    </row>
    <row r="200">
      <c r="A200" s="4" t="n">
        <v>199</v>
      </c>
      <c r="B200" s="6" t="n"/>
      <c r="C200" s="6" t="n"/>
      <c r="D200" s="6" t="n"/>
      <c r="E200" s="6" t="n"/>
      <c r="F200" s="6" t="n"/>
      <c r="G200" s="4">
        <f>IF(OR(E200="",F200=""),"",IF(E200=F200,1,0))</f>
        <v/>
      </c>
      <c r="H200" s="6" t="n"/>
      <c r="I200" s="6" t="n"/>
      <c r="J200" s="6" t="n"/>
      <c r="K200" s="6" t="n"/>
    </row>
    <row r="201">
      <c r="A201" s="4" t="n">
        <v>200</v>
      </c>
      <c r="B201" s="6" t="n"/>
      <c r="C201" s="6" t="n"/>
      <c r="D201" s="6" t="n"/>
      <c r="E201" s="6" t="n"/>
      <c r="F201" s="6" t="n"/>
      <c r="G201" s="4">
        <f>IF(OR(E201="",F201=""),"",IF(E201=F201,1,0))</f>
        <v/>
      </c>
      <c r="H201" s="6" t="n"/>
      <c r="I201" s="6" t="n"/>
      <c r="J201" s="6" t="n"/>
      <c r="K201" s="6" t="n"/>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"Ban ngày, đủ sáng, chụp chính diện,Trời râm, âm u,Chiều tối, có đèn đường,Góc nghiêng khoảng 30°,Khoảng cách 10 – 15 m,Ảnh chọn từ thư viện"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6" customWidth="1" min="1" max="1"/>
    <col width="16" customWidth="1" min="2" max="2"/>
    <col width="10" customWidth="1" min="3" max="3"/>
    <col width="18" customWidth="1" min="4" max="4"/>
    <col width="22" customWidth="1" min="5" max="5"/>
    <col width="16" customWidth="1" min="6" max="6"/>
  </cols>
  <sheetData>
    <row r="1">
      <c r="A1" s="1" t="inlineStr">
        <is>
          <t>KẾT QUẢ TRÊN CÁC THIẾT BỊ (Bảng 15)</t>
        </is>
      </c>
    </row>
    <row r="3" ht="32" customHeight="1">
      <c r="A3" s="3" t="inlineStr">
        <is>
          <t>Thiết bị</t>
        </is>
      </c>
      <c r="B3" s="3" t="inlineStr">
        <is>
          <t>Hệ điều hành</t>
        </is>
      </c>
      <c r="C3" s="3" t="inlineStr">
        <is>
          <t>RAM</t>
        </is>
      </c>
      <c r="D3" s="3" t="inlineStr">
        <is>
          <t>Thời gian mở app (s)</t>
        </is>
      </c>
      <c r="E3" s="3" t="inlineStr">
        <is>
          <t>Thời gian nhận diện TB (ms)</t>
        </is>
      </c>
      <c r="F3" s="3" t="inlineStr">
        <is>
          <t>Chạy ngoại tuyến</t>
        </is>
      </c>
    </row>
    <row r="4">
      <c r="A4" s="6" t="n"/>
      <c r="B4" s="6" t="n"/>
      <c r="C4" s="6" t="n"/>
      <c r="D4" s="6" t="n"/>
      <c r="E4" s="8">
        <f>IFERROR(AVERAGEIF('Ghi tung lan'!$D:$D,A4,'Ghi tung lan'!$I:$I),"")</f>
        <v/>
      </c>
      <c r="F4" s="6" t="n"/>
    </row>
    <row r="5">
      <c r="A5" s="6" t="n"/>
      <c r="B5" s="6" t="n"/>
      <c r="C5" s="6" t="n"/>
      <c r="D5" s="6" t="n"/>
      <c r="E5" s="8">
        <f>IFERROR(AVERAGEIF('Ghi tung lan'!$D:$D,A5,'Ghi tung lan'!$I:$I),"")</f>
        <v/>
      </c>
      <c r="F5" s="6" t="n"/>
    </row>
    <row r="6">
      <c r="A6" s="6" t="n"/>
      <c r="B6" s="6" t="n"/>
      <c r="C6" s="6" t="n"/>
      <c r="D6" s="6" t="n"/>
      <c r="E6" s="8">
        <f>IFERROR(AVERAGEIF('Ghi tung lan'!$D:$D,A6,'Ghi tung lan'!$I:$I),"")</f>
        <v/>
      </c>
      <c r="F6" s="6" t="n"/>
    </row>
    <row r="8">
      <c r="A8" s="2" t="inlineStr">
        <is>
          <t>Cột "Thời gian nhận diện TB" tự tính từ sheet "Ghi tung lan" theo đúng tên thiết bị ở cột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7" customWidth="1" min="1" max="1"/>
    <col width="40" customWidth="1" min="2" max="2"/>
    <col width="8" customWidth="1" min="3" max="3"/>
    <col width="8" customWidth="1" min="4" max="4"/>
    <col width="8" customWidth="1" min="5" max="5"/>
    <col width="11" customWidth="1" min="6" max="6"/>
    <col width="11" customWidth="1" min="7" max="7"/>
    <col width="11" customWidth="1" min="8" max="8"/>
  </cols>
  <sheetData>
    <row r="1">
      <c r="A1" s="1" t="inlineStr">
        <is>
          <t>TÍNH PRECISION, RECALL, F1 THEO TỪNG LỚP</t>
        </is>
      </c>
    </row>
    <row r="2">
      <c r="A2" s="9" t="inlineStr">
        <is>
          <t>TP: ảnh của lớp này, máy đoán đúng.  FP: ảnh lớp khác bị máy đoán thành lớp này.  FN: ảnh lớp này bị máy đoán sang lớp khác.</t>
        </is>
      </c>
    </row>
    <row r="3">
      <c r="A3" s="9" t="inlineStr">
        <is>
          <t>P = TP/(TP+FP);  R = TP/(TP+FN);  F1 = 2·P·R/(P+R). Lớp nào không có ảnh thử thì để trống, không tính vào trung bình.</t>
        </is>
      </c>
    </row>
    <row r="5" ht="32" customHeight="1">
      <c r="A5" s="3" t="inlineStr">
        <is>
          <t>Nhãn</t>
        </is>
      </c>
      <c r="B5" s="3" t="inlineStr">
        <is>
          <t>Tên biển</t>
        </is>
      </c>
      <c r="C5" s="3" t="inlineStr">
        <is>
          <t>TP</t>
        </is>
      </c>
      <c r="D5" s="3" t="inlineStr">
        <is>
          <t>FP</t>
        </is>
      </c>
      <c r="E5" s="3" t="inlineStr">
        <is>
          <t>FN</t>
        </is>
      </c>
      <c r="F5" s="3" t="inlineStr">
        <is>
          <t>Precision</t>
        </is>
      </c>
      <c r="G5" s="3" t="inlineStr">
        <is>
          <t>Recall</t>
        </is>
      </c>
      <c r="H5" s="3" t="inlineStr">
        <is>
          <t>F1</t>
        </is>
      </c>
    </row>
    <row r="6">
      <c r="A6" s="4" t="n">
        <v>0</v>
      </c>
      <c r="B6" s="4" t="inlineStr">
        <is>
          <t>Tốc độ tối đa 20 km/h</t>
        </is>
      </c>
      <c r="C6" s="6" t="n"/>
      <c r="D6" s="6" t="n"/>
      <c r="E6" s="6" t="n"/>
      <c r="F6" s="10">
        <f>IF(C6="","",IF(C6+D6=0,0,C6/(C6+D6)))</f>
        <v/>
      </c>
      <c r="G6" s="10">
        <f>IF(C6="","",IF(C6+E6=0,0,C6/(C6+E6)))</f>
        <v/>
      </c>
      <c r="H6" s="10">
        <f>IF(C6="","",IF(F6+G6=0,0,2*F6*G6/(F6+G6)))</f>
        <v/>
      </c>
    </row>
    <row r="7">
      <c r="A7" s="4" t="n">
        <v>1</v>
      </c>
      <c r="B7" s="4" t="inlineStr">
        <is>
          <t>Tốc độ tối đa 30 km/h</t>
        </is>
      </c>
      <c r="C7" s="6" t="n"/>
      <c r="D7" s="6" t="n"/>
      <c r="E7" s="6" t="n"/>
      <c r="F7" s="10">
        <f>IF(C7="","",IF(C7+D7=0,0,C7/(C7+D7)))</f>
        <v/>
      </c>
      <c r="G7" s="10">
        <f>IF(C7="","",IF(C7+E7=0,0,C7/(C7+E7)))</f>
        <v/>
      </c>
      <c r="H7" s="10">
        <f>IF(C7="","",IF(F7+G7=0,0,2*F7*G7/(F7+G7)))</f>
        <v/>
      </c>
    </row>
    <row r="8">
      <c r="A8" s="4" t="n">
        <v>2</v>
      </c>
      <c r="B8" s="4" t="inlineStr">
        <is>
          <t>Tốc độ tối đa 50 km/h</t>
        </is>
      </c>
      <c r="C8" s="6" t="n"/>
      <c r="D8" s="6" t="n"/>
      <c r="E8" s="6" t="n"/>
      <c r="F8" s="10">
        <f>IF(C8="","",IF(C8+D8=0,0,C8/(C8+D8)))</f>
        <v/>
      </c>
      <c r="G8" s="10">
        <f>IF(C8="","",IF(C8+E8=0,0,C8/(C8+E8)))</f>
        <v/>
      </c>
      <c r="H8" s="10">
        <f>IF(C8="","",IF(F8+G8=0,0,2*F8*G8/(F8+G8)))</f>
        <v/>
      </c>
    </row>
    <row r="9">
      <c r="A9" s="4" t="n">
        <v>3</v>
      </c>
      <c r="B9" s="4" t="inlineStr">
        <is>
          <t>Tốc độ tối đa 60 km/h</t>
        </is>
      </c>
      <c r="C9" s="6" t="n"/>
      <c r="D9" s="6" t="n"/>
      <c r="E9" s="6" t="n"/>
      <c r="F9" s="10">
        <f>IF(C9="","",IF(C9+D9=0,0,C9/(C9+D9)))</f>
        <v/>
      </c>
      <c r="G9" s="10">
        <f>IF(C9="","",IF(C9+E9=0,0,C9/(C9+E9)))</f>
        <v/>
      </c>
      <c r="H9" s="10">
        <f>IF(C9="","",IF(F9+G9=0,0,2*F9*G9/(F9+G9)))</f>
        <v/>
      </c>
    </row>
    <row r="10">
      <c r="A10" s="4" t="n">
        <v>4</v>
      </c>
      <c r="B10" s="4" t="inlineStr">
        <is>
          <t>Tốc độ tối đa 70 km/h</t>
        </is>
      </c>
      <c r="C10" s="6" t="n"/>
      <c r="D10" s="6" t="n"/>
      <c r="E10" s="6" t="n"/>
      <c r="F10" s="10">
        <f>IF(C10="","",IF(C10+D10=0,0,C10/(C10+D10)))</f>
        <v/>
      </c>
      <c r="G10" s="10">
        <f>IF(C10="","",IF(C10+E10=0,0,C10/(C10+E10)))</f>
        <v/>
      </c>
      <c r="H10" s="10">
        <f>IF(C10="","",IF(F10+G10=0,0,2*F10*G10/(F10+G10)))</f>
        <v/>
      </c>
    </row>
    <row r="11">
      <c r="A11" s="4" t="n">
        <v>5</v>
      </c>
      <c r="B11" s="4" t="inlineStr">
        <is>
          <t>Tốc độ tối đa 80 km/h</t>
        </is>
      </c>
      <c r="C11" s="6" t="n"/>
      <c r="D11" s="6" t="n"/>
      <c r="E11" s="6" t="n"/>
      <c r="F11" s="10">
        <f>IF(C11="","",IF(C11+D11=0,0,C11/(C11+D11)))</f>
        <v/>
      </c>
      <c r="G11" s="10">
        <f>IF(C11="","",IF(C11+E11=0,0,C11/(C11+E11)))</f>
        <v/>
      </c>
      <c r="H11" s="10">
        <f>IF(C11="","",IF(F11+G11=0,0,2*F11*G11/(F11+G11)))</f>
        <v/>
      </c>
    </row>
    <row r="12">
      <c r="A12" s="4" t="n">
        <v>6</v>
      </c>
      <c r="B12" s="4" t="inlineStr">
        <is>
          <t>Hết hạn chế tốc độ tối đa 80 km/h</t>
        </is>
      </c>
      <c r="C12" s="6" t="n"/>
      <c r="D12" s="6" t="n"/>
      <c r="E12" s="6" t="n"/>
      <c r="F12" s="10">
        <f>IF(C12="","",IF(C12+D12=0,0,C12/(C12+D12)))</f>
        <v/>
      </c>
      <c r="G12" s="10">
        <f>IF(C12="","",IF(C12+E12=0,0,C12/(C12+E12)))</f>
        <v/>
      </c>
      <c r="H12" s="10">
        <f>IF(C12="","",IF(F12+G12=0,0,2*F12*G12/(F12+G12)))</f>
        <v/>
      </c>
    </row>
    <row r="13">
      <c r="A13" s="4" t="n">
        <v>7</v>
      </c>
      <c r="B13" s="4" t="inlineStr">
        <is>
          <t>Tốc độ tối đa 100 km/h</t>
        </is>
      </c>
      <c r="C13" s="6" t="n"/>
      <c r="D13" s="6" t="n"/>
      <c r="E13" s="6" t="n"/>
      <c r="F13" s="10">
        <f>IF(C13="","",IF(C13+D13=0,0,C13/(C13+D13)))</f>
        <v/>
      </c>
      <c r="G13" s="10">
        <f>IF(C13="","",IF(C13+E13=0,0,C13/(C13+E13)))</f>
        <v/>
      </c>
      <c r="H13" s="10">
        <f>IF(C13="","",IF(F13+G13=0,0,2*F13*G13/(F13+G13)))</f>
        <v/>
      </c>
    </row>
    <row r="14">
      <c r="A14" s="4" t="n">
        <v>8</v>
      </c>
      <c r="B14" s="4" t="inlineStr">
        <is>
          <t>Tốc độ tối đa 120 km/h</t>
        </is>
      </c>
      <c r="C14" s="6" t="n"/>
      <c r="D14" s="6" t="n"/>
      <c r="E14" s="6" t="n"/>
      <c r="F14" s="10">
        <f>IF(C14="","",IF(C14+D14=0,0,C14/(C14+D14)))</f>
        <v/>
      </c>
      <c r="G14" s="10">
        <f>IF(C14="","",IF(C14+E14=0,0,C14/(C14+E14)))</f>
        <v/>
      </c>
      <c r="H14" s="10">
        <f>IF(C14="","",IF(F14+G14=0,0,2*F14*G14/(F14+G14)))</f>
        <v/>
      </c>
    </row>
    <row r="15">
      <c r="A15" s="4" t="n">
        <v>9</v>
      </c>
      <c r="B15" s="4" t="inlineStr">
        <is>
          <t>Cấm vượt</t>
        </is>
      </c>
      <c r="C15" s="6" t="n"/>
      <c r="D15" s="6" t="n"/>
      <c r="E15" s="6" t="n"/>
      <c r="F15" s="10">
        <f>IF(C15="","",IF(C15+D15=0,0,C15/(C15+D15)))</f>
        <v/>
      </c>
      <c r="G15" s="10">
        <f>IF(C15="","",IF(C15+E15=0,0,C15/(C15+E15)))</f>
        <v/>
      </c>
      <c r="H15" s="10">
        <f>IF(C15="","",IF(F15+G15=0,0,2*F15*G15/(F15+G15)))</f>
        <v/>
      </c>
    </row>
    <row r="16">
      <c r="A16" s="4" t="n">
        <v>10</v>
      </c>
      <c r="B16" s="4" t="inlineStr">
        <is>
          <t>Cấm xe ô tô tải vượt</t>
        </is>
      </c>
      <c r="C16" s="6" t="n"/>
      <c r="D16" s="6" t="n"/>
      <c r="E16" s="6" t="n"/>
      <c r="F16" s="10">
        <f>IF(C16="","",IF(C16+D16=0,0,C16/(C16+D16)))</f>
        <v/>
      </c>
      <c r="G16" s="10">
        <f>IF(C16="","",IF(C16+E16=0,0,C16/(C16+E16)))</f>
        <v/>
      </c>
      <c r="H16" s="10">
        <f>IF(C16="","",IF(F16+G16=0,0,2*F16*G16/(F16+G16)))</f>
        <v/>
      </c>
    </row>
    <row r="17">
      <c r="A17" s="4" t="n">
        <v>11</v>
      </c>
      <c r="B17" s="4" t="inlineStr">
        <is>
          <t>Giao nhau với đường không ưu tiên</t>
        </is>
      </c>
      <c r="C17" s="6" t="n"/>
      <c r="D17" s="6" t="n"/>
      <c r="E17" s="6" t="n"/>
      <c r="F17" s="10">
        <f>IF(C17="","",IF(C17+D17=0,0,C17/(C17+D17)))</f>
        <v/>
      </c>
      <c r="G17" s="10">
        <f>IF(C17="","",IF(C17+E17=0,0,C17/(C17+E17)))</f>
        <v/>
      </c>
      <c r="H17" s="10">
        <f>IF(C17="","",IF(F17+G17=0,0,2*F17*G17/(F17+G17)))</f>
        <v/>
      </c>
    </row>
    <row r="18">
      <c r="A18" s="4" t="n">
        <v>12</v>
      </c>
      <c r="B18" s="4" t="inlineStr">
        <is>
          <t>Bắt đầu đường ưu tiên</t>
        </is>
      </c>
      <c r="C18" s="6" t="n"/>
      <c r="D18" s="6" t="n"/>
      <c r="E18" s="6" t="n"/>
      <c r="F18" s="10">
        <f>IF(C18="","",IF(C18+D18=0,0,C18/(C18+D18)))</f>
        <v/>
      </c>
      <c r="G18" s="10">
        <f>IF(C18="","",IF(C18+E18=0,0,C18/(C18+E18)))</f>
        <v/>
      </c>
      <c r="H18" s="10">
        <f>IF(C18="","",IF(F18+G18=0,0,2*F18*G18/(F18+G18)))</f>
        <v/>
      </c>
    </row>
    <row r="19">
      <c r="A19" s="4" t="n">
        <v>13</v>
      </c>
      <c r="B19" s="4" t="inlineStr">
        <is>
          <t>Giao nhau với đường ưu tiên (nhường đường)</t>
        </is>
      </c>
      <c r="C19" s="6" t="n"/>
      <c r="D19" s="6" t="n"/>
      <c r="E19" s="6" t="n"/>
      <c r="F19" s="10">
        <f>IF(C19="","",IF(C19+D19=0,0,C19/(C19+D19)))</f>
        <v/>
      </c>
      <c r="G19" s="10">
        <f>IF(C19="","",IF(C19+E19=0,0,C19/(C19+E19)))</f>
        <v/>
      </c>
      <c r="H19" s="10">
        <f>IF(C19="","",IF(F19+G19=0,0,2*F19*G19/(F19+G19)))</f>
        <v/>
      </c>
    </row>
    <row r="20">
      <c r="A20" s="4" t="n">
        <v>14</v>
      </c>
      <c r="B20" s="4" t="inlineStr">
        <is>
          <t>Dừng lại</t>
        </is>
      </c>
      <c r="C20" s="6" t="n"/>
      <c r="D20" s="6" t="n"/>
      <c r="E20" s="6" t="n"/>
      <c r="F20" s="10">
        <f>IF(C20="","",IF(C20+D20=0,0,C20/(C20+D20)))</f>
        <v/>
      </c>
      <c r="G20" s="10">
        <f>IF(C20="","",IF(C20+E20=0,0,C20/(C20+E20)))</f>
        <v/>
      </c>
      <c r="H20" s="10">
        <f>IF(C20="","",IF(F20+G20=0,0,2*F20*G20/(F20+G20)))</f>
        <v/>
      </c>
    </row>
    <row r="21">
      <c r="A21" s="4" t="n">
        <v>15</v>
      </c>
      <c r="B21" s="4" t="inlineStr">
        <is>
          <t>Đường cấm</t>
        </is>
      </c>
      <c r="C21" s="6" t="n"/>
      <c r="D21" s="6" t="n"/>
      <c r="E21" s="6" t="n"/>
      <c r="F21" s="10">
        <f>IF(C21="","",IF(C21+D21=0,0,C21/(C21+D21)))</f>
        <v/>
      </c>
      <c r="G21" s="10">
        <f>IF(C21="","",IF(C21+E21=0,0,C21/(C21+E21)))</f>
        <v/>
      </c>
      <c r="H21" s="10">
        <f>IF(C21="","",IF(F21+G21=0,0,2*F21*G21/(F21+G21)))</f>
        <v/>
      </c>
    </row>
    <row r="22">
      <c r="A22" s="4" t="n">
        <v>16</v>
      </c>
      <c r="B22" s="4" t="inlineStr">
        <is>
          <t>Cấm xe ô tô tải</t>
        </is>
      </c>
      <c r="C22" s="6" t="n"/>
      <c r="D22" s="6" t="n"/>
      <c r="E22" s="6" t="n"/>
      <c r="F22" s="10">
        <f>IF(C22="","",IF(C22+D22=0,0,C22/(C22+D22)))</f>
        <v/>
      </c>
      <c r="G22" s="10">
        <f>IF(C22="","",IF(C22+E22=0,0,C22/(C22+E22)))</f>
        <v/>
      </c>
      <c r="H22" s="10">
        <f>IF(C22="","",IF(F22+G22=0,0,2*F22*G22/(F22+G22)))</f>
        <v/>
      </c>
    </row>
    <row r="23">
      <c r="A23" s="4" t="n">
        <v>17</v>
      </c>
      <c r="B23" s="4" t="inlineStr">
        <is>
          <t>Cấm đi ngược chiều</t>
        </is>
      </c>
      <c r="C23" s="6" t="n"/>
      <c r="D23" s="6" t="n"/>
      <c r="E23" s="6" t="n"/>
      <c r="F23" s="10">
        <f>IF(C23="","",IF(C23+D23=0,0,C23/(C23+D23)))</f>
        <v/>
      </c>
      <c r="G23" s="10">
        <f>IF(C23="","",IF(C23+E23=0,0,C23/(C23+E23)))</f>
        <v/>
      </c>
      <c r="H23" s="10">
        <f>IF(C23="","",IF(F23+G23=0,0,2*F23*G23/(F23+G23)))</f>
        <v/>
      </c>
    </row>
    <row r="24">
      <c r="A24" s="4" t="n">
        <v>18</v>
      </c>
      <c r="B24" s="4" t="inlineStr">
        <is>
          <t>Nguy hiểm khác</t>
        </is>
      </c>
      <c r="C24" s="6" t="n"/>
      <c r="D24" s="6" t="n"/>
      <c r="E24" s="6" t="n"/>
      <c r="F24" s="10">
        <f>IF(C24="","",IF(C24+D24=0,0,C24/(C24+D24)))</f>
        <v/>
      </c>
      <c r="G24" s="10">
        <f>IF(C24="","",IF(C24+E24=0,0,C24/(C24+E24)))</f>
        <v/>
      </c>
      <c r="H24" s="10">
        <f>IF(C24="","",IF(F24+G24=0,0,2*F24*G24/(F24+G24)))</f>
        <v/>
      </c>
    </row>
    <row r="25">
      <c r="A25" s="4" t="n">
        <v>19</v>
      </c>
      <c r="B25" s="4" t="inlineStr">
        <is>
          <t>Chỗ ngoặt nguy hiểm vòng bên trái</t>
        </is>
      </c>
      <c r="C25" s="6" t="n"/>
      <c r="D25" s="6" t="n"/>
      <c r="E25" s="6" t="n"/>
      <c r="F25" s="10">
        <f>IF(C25="","",IF(C25+D25=0,0,C25/(C25+D25)))</f>
        <v/>
      </c>
      <c r="G25" s="10">
        <f>IF(C25="","",IF(C25+E25=0,0,C25/(C25+E25)))</f>
        <v/>
      </c>
      <c r="H25" s="10">
        <f>IF(C25="","",IF(F25+G25=0,0,2*F25*G25/(F25+G25)))</f>
        <v/>
      </c>
    </row>
    <row r="26">
      <c r="A26" s="4" t="n">
        <v>20</v>
      </c>
      <c r="B26" s="4" t="inlineStr">
        <is>
          <t>Chỗ ngoặt nguy hiểm vòng bên phải</t>
        </is>
      </c>
      <c r="C26" s="6" t="n"/>
      <c r="D26" s="6" t="n"/>
      <c r="E26" s="6" t="n"/>
      <c r="F26" s="10">
        <f>IF(C26="","",IF(C26+D26=0,0,C26/(C26+D26)))</f>
        <v/>
      </c>
      <c r="G26" s="10">
        <f>IF(C26="","",IF(C26+E26=0,0,C26/(C26+E26)))</f>
        <v/>
      </c>
      <c r="H26" s="10">
        <f>IF(C26="","",IF(F26+G26=0,0,2*F26*G26/(F26+G26)))</f>
        <v/>
      </c>
    </row>
    <row r="27">
      <c r="A27" s="4" t="n">
        <v>21</v>
      </c>
      <c r="B27" s="4" t="inlineStr">
        <is>
          <t>Nhiều chỗ ngoặt nguy hiểm liên tiếp</t>
        </is>
      </c>
      <c r="C27" s="6" t="n"/>
      <c r="D27" s="6" t="n"/>
      <c r="E27" s="6" t="n"/>
      <c r="F27" s="10">
        <f>IF(C27="","",IF(C27+D27=0,0,C27/(C27+D27)))</f>
        <v/>
      </c>
      <c r="G27" s="10">
        <f>IF(C27="","",IF(C27+E27=0,0,C27/(C27+E27)))</f>
        <v/>
      </c>
      <c r="H27" s="10">
        <f>IF(C27="","",IF(F27+G27=0,0,2*F27*G27/(F27+G27)))</f>
        <v/>
      </c>
    </row>
    <row r="28">
      <c r="A28" s="4" t="n">
        <v>22</v>
      </c>
      <c r="B28" s="4" t="inlineStr">
        <is>
          <t>Đường có ổ gà, lồi lõm</t>
        </is>
      </c>
      <c r="C28" s="6" t="n"/>
      <c r="D28" s="6" t="n"/>
      <c r="E28" s="6" t="n"/>
      <c r="F28" s="10">
        <f>IF(C28="","",IF(C28+D28=0,0,C28/(C28+D28)))</f>
        <v/>
      </c>
      <c r="G28" s="10">
        <f>IF(C28="","",IF(C28+E28=0,0,C28/(C28+E28)))</f>
        <v/>
      </c>
      <c r="H28" s="10">
        <f>IF(C28="","",IF(F28+G28=0,0,2*F28*G28/(F28+G28)))</f>
        <v/>
      </c>
    </row>
    <row r="29">
      <c r="A29" s="4" t="n">
        <v>23</v>
      </c>
      <c r="B29" s="4" t="inlineStr">
        <is>
          <t>Đường trơn</t>
        </is>
      </c>
      <c r="C29" s="6" t="n"/>
      <c r="D29" s="6" t="n"/>
      <c r="E29" s="6" t="n"/>
      <c r="F29" s="10">
        <f>IF(C29="","",IF(C29+D29=0,0,C29/(C29+D29)))</f>
        <v/>
      </c>
      <c r="G29" s="10">
        <f>IF(C29="","",IF(C29+E29=0,0,C29/(C29+E29)))</f>
        <v/>
      </c>
      <c r="H29" s="10">
        <f>IF(C29="","",IF(F29+G29=0,0,2*F29*G29/(F29+G29)))</f>
        <v/>
      </c>
    </row>
    <row r="30">
      <c r="A30" s="4" t="n">
        <v>24</v>
      </c>
      <c r="B30" s="4" t="inlineStr">
        <is>
          <t>Đường bị hẹp về phía phải</t>
        </is>
      </c>
      <c r="C30" s="6" t="n"/>
      <c r="D30" s="6" t="n"/>
      <c r="E30" s="6" t="n"/>
      <c r="F30" s="10">
        <f>IF(C30="","",IF(C30+D30=0,0,C30/(C30+D30)))</f>
        <v/>
      </c>
      <c r="G30" s="10">
        <f>IF(C30="","",IF(C30+E30=0,0,C30/(C30+E30)))</f>
        <v/>
      </c>
      <c r="H30" s="10">
        <f>IF(C30="","",IF(F30+G30=0,0,2*F30*G30/(F30+G30)))</f>
        <v/>
      </c>
    </row>
    <row r="31">
      <c r="A31" s="4" t="n">
        <v>25</v>
      </c>
      <c r="B31" s="4" t="inlineStr">
        <is>
          <t>Công trường</t>
        </is>
      </c>
      <c r="C31" s="6" t="n"/>
      <c r="D31" s="6" t="n"/>
      <c r="E31" s="6" t="n"/>
      <c r="F31" s="10">
        <f>IF(C31="","",IF(C31+D31=0,0,C31/(C31+D31)))</f>
        <v/>
      </c>
      <c r="G31" s="10">
        <f>IF(C31="","",IF(C31+E31=0,0,C31/(C31+E31)))</f>
        <v/>
      </c>
      <c r="H31" s="10">
        <f>IF(C31="","",IF(F31+G31=0,0,2*F31*G31/(F31+G31)))</f>
        <v/>
      </c>
    </row>
    <row r="32">
      <c r="A32" s="4" t="n">
        <v>26</v>
      </c>
      <c r="B32" s="4" t="inlineStr">
        <is>
          <t>Giao nhau có tín hiệu đèn</t>
        </is>
      </c>
      <c r="C32" s="6" t="n"/>
      <c r="D32" s="6" t="n"/>
      <c r="E32" s="6" t="n"/>
      <c r="F32" s="10">
        <f>IF(C32="","",IF(C32+D32=0,0,C32/(C32+D32)))</f>
        <v/>
      </c>
      <c r="G32" s="10">
        <f>IF(C32="","",IF(C32+E32=0,0,C32/(C32+E32)))</f>
        <v/>
      </c>
      <c r="H32" s="10">
        <f>IF(C32="","",IF(F32+G32=0,0,2*F32*G32/(F32+G32)))</f>
        <v/>
      </c>
    </row>
    <row r="33">
      <c r="A33" s="4" t="n">
        <v>27</v>
      </c>
      <c r="B33" s="4" t="inlineStr">
        <is>
          <t>Đường người đi bộ cắt ngang</t>
        </is>
      </c>
      <c r="C33" s="6" t="n"/>
      <c r="D33" s="6" t="n"/>
      <c r="E33" s="6" t="n"/>
      <c r="F33" s="10">
        <f>IF(C33="","",IF(C33+D33=0,0,C33/(C33+D33)))</f>
        <v/>
      </c>
      <c r="G33" s="10">
        <f>IF(C33="","",IF(C33+E33=0,0,C33/(C33+E33)))</f>
        <v/>
      </c>
      <c r="H33" s="10">
        <f>IF(C33="","",IF(F33+G33=0,0,2*F33*G33/(F33+G33)))</f>
        <v/>
      </c>
    </row>
    <row r="34">
      <c r="A34" s="4" t="n">
        <v>28</v>
      </c>
      <c r="B34" s="4" t="inlineStr">
        <is>
          <t>Trẻ em</t>
        </is>
      </c>
      <c r="C34" s="6" t="n"/>
      <c r="D34" s="6" t="n"/>
      <c r="E34" s="6" t="n"/>
      <c r="F34" s="10">
        <f>IF(C34="","",IF(C34+D34=0,0,C34/(C34+D34)))</f>
        <v/>
      </c>
      <c r="G34" s="10">
        <f>IF(C34="","",IF(C34+E34=0,0,C34/(C34+E34)))</f>
        <v/>
      </c>
      <c r="H34" s="10">
        <f>IF(C34="","",IF(F34+G34=0,0,2*F34*G34/(F34+G34)))</f>
        <v/>
      </c>
    </row>
    <row r="35">
      <c r="A35" s="4" t="n">
        <v>29</v>
      </c>
      <c r="B35" s="4" t="inlineStr">
        <is>
          <t>Đường người đi xe đạp cắt ngang</t>
        </is>
      </c>
      <c r="C35" s="6" t="n"/>
      <c r="D35" s="6" t="n"/>
      <c r="E35" s="6" t="n"/>
      <c r="F35" s="10">
        <f>IF(C35="","",IF(C35+D35=0,0,C35/(C35+D35)))</f>
        <v/>
      </c>
      <c r="G35" s="10">
        <f>IF(C35="","",IF(C35+E35=0,0,C35/(C35+E35)))</f>
        <v/>
      </c>
      <c r="H35" s="10">
        <f>IF(C35="","",IF(F35+G35=0,0,2*F35*G35/(F35+G35)))</f>
        <v/>
      </c>
    </row>
    <row r="36">
      <c r="A36" s="4" t="n">
        <v>30</v>
      </c>
      <c r="B36" s="4" t="inlineStr">
        <is>
          <t>Đường có băng tuyết</t>
        </is>
      </c>
      <c r="C36" s="6" t="n"/>
      <c r="D36" s="6" t="n"/>
      <c r="E36" s="6" t="n"/>
      <c r="F36" s="10">
        <f>IF(C36="","",IF(C36+D36=0,0,C36/(C36+D36)))</f>
        <v/>
      </c>
      <c r="G36" s="10">
        <f>IF(C36="","",IF(C36+E36=0,0,C36/(C36+E36)))</f>
        <v/>
      </c>
      <c r="H36" s="10">
        <f>IF(C36="","",IF(F36+G36=0,0,2*F36*G36/(F36+G36)))</f>
        <v/>
      </c>
    </row>
    <row r="37">
      <c r="A37" s="4" t="n">
        <v>31</v>
      </c>
      <c r="B37" s="4" t="inlineStr">
        <is>
          <t>Thú rừng vượt qua đường</t>
        </is>
      </c>
      <c r="C37" s="6" t="n"/>
      <c r="D37" s="6" t="n"/>
      <c r="E37" s="6" t="n"/>
      <c r="F37" s="10">
        <f>IF(C37="","",IF(C37+D37=0,0,C37/(C37+D37)))</f>
        <v/>
      </c>
      <c r="G37" s="10">
        <f>IF(C37="","",IF(C37+E37=0,0,C37/(C37+E37)))</f>
        <v/>
      </c>
      <c r="H37" s="10">
        <f>IF(C37="","",IF(F37+G37=0,0,2*F37*G37/(F37+G37)))</f>
        <v/>
      </c>
    </row>
    <row r="38">
      <c r="A38" s="4" t="n">
        <v>32</v>
      </c>
      <c r="B38" s="4" t="inlineStr">
        <is>
          <t>Hết tất cả các lệnh cấm</t>
        </is>
      </c>
      <c r="C38" s="6" t="n"/>
      <c r="D38" s="6" t="n"/>
      <c r="E38" s="6" t="n"/>
      <c r="F38" s="10">
        <f>IF(C38="","",IF(C38+D38=0,0,C38/(C38+D38)))</f>
        <v/>
      </c>
      <c r="G38" s="10">
        <f>IF(C38="","",IF(C38+E38=0,0,C38/(C38+E38)))</f>
        <v/>
      </c>
      <c r="H38" s="10">
        <f>IF(C38="","",IF(F38+G38=0,0,2*F38*G38/(F38+G38)))</f>
        <v/>
      </c>
    </row>
    <row r="39">
      <c r="A39" s="4" t="n">
        <v>33</v>
      </c>
      <c r="B39" s="4" t="inlineStr">
        <is>
          <t>Rẽ phải phía trước</t>
        </is>
      </c>
      <c r="C39" s="6" t="n"/>
      <c r="D39" s="6" t="n"/>
      <c r="E39" s="6" t="n"/>
      <c r="F39" s="10">
        <f>IF(C39="","",IF(C39+D39=0,0,C39/(C39+D39)))</f>
        <v/>
      </c>
      <c r="G39" s="10">
        <f>IF(C39="","",IF(C39+E39=0,0,C39/(C39+E39)))</f>
        <v/>
      </c>
      <c r="H39" s="10">
        <f>IF(C39="","",IF(F39+G39=0,0,2*F39*G39/(F39+G39)))</f>
        <v/>
      </c>
    </row>
    <row r="40">
      <c r="A40" s="4" t="n">
        <v>34</v>
      </c>
      <c r="B40" s="4" t="inlineStr">
        <is>
          <t>Rẽ trái phía trước</t>
        </is>
      </c>
      <c r="C40" s="6" t="n"/>
      <c r="D40" s="6" t="n"/>
      <c r="E40" s="6" t="n"/>
      <c r="F40" s="10">
        <f>IF(C40="","",IF(C40+D40=0,0,C40/(C40+D40)))</f>
        <v/>
      </c>
      <c r="G40" s="10">
        <f>IF(C40="","",IF(C40+E40=0,0,C40/(C40+E40)))</f>
        <v/>
      </c>
      <c r="H40" s="10">
        <f>IF(C40="","",IF(F40+G40=0,0,2*F40*G40/(F40+G40)))</f>
        <v/>
      </c>
    </row>
    <row r="41">
      <c r="A41" s="4" t="n">
        <v>35</v>
      </c>
      <c r="B41" s="4" t="inlineStr">
        <is>
          <t>Đi thẳng</t>
        </is>
      </c>
      <c r="C41" s="6" t="n"/>
      <c r="D41" s="6" t="n"/>
      <c r="E41" s="6" t="n"/>
      <c r="F41" s="10">
        <f>IF(C41="","",IF(C41+D41=0,0,C41/(C41+D41)))</f>
        <v/>
      </c>
      <c r="G41" s="10">
        <f>IF(C41="","",IF(C41+E41=0,0,C41/(C41+E41)))</f>
        <v/>
      </c>
      <c r="H41" s="10">
        <f>IF(C41="","",IF(F41+G41=0,0,2*F41*G41/(F41+G41)))</f>
        <v/>
      </c>
    </row>
    <row r="42">
      <c r="A42" s="4" t="n">
        <v>36</v>
      </c>
      <c r="B42" s="4" t="inlineStr">
        <is>
          <t>Đi thẳng hoặc rẽ phải</t>
        </is>
      </c>
      <c r="C42" s="6" t="n"/>
      <c r="D42" s="6" t="n"/>
      <c r="E42" s="6" t="n"/>
      <c r="F42" s="10">
        <f>IF(C42="","",IF(C42+D42=0,0,C42/(C42+D42)))</f>
        <v/>
      </c>
      <c r="G42" s="10">
        <f>IF(C42="","",IF(C42+E42=0,0,C42/(C42+E42)))</f>
        <v/>
      </c>
      <c r="H42" s="10">
        <f>IF(C42="","",IF(F42+G42=0,0,2*F42*G42/(F42+G42)))</f>
        <v/>
      </c>
    </row>
    <row r="43">
      <c r="A43" s="4" t="n">
        <v>37</v>
      </c>
      <c r="B43" s="4" t="inlineStr">
        <is>
          <t>Đi thẳng hoặc rẽ trái</t>
        </is>
      </c>
      <c r="C43" s="6" t="n"/>
      <c r="D43" s="6" t="n"/>
      <c r="E43" s="6" t="n"/>
      <c r="F43" s="10">
        <f>IF(C43="","",IF(C43+D43=0,0,C43/(C43+D43)))</f>
        <v/>
      </c>
      <c r="G43" s="10">
        <f>IF(C43="","",IF(C43+E43=0,0,C43/(C43+E43)))</f>
        <v/>
      </c>
      <c r="H43" s="10">
        <f>IF(C43="","",IF(F43+G43=0,0,2*F43*G43/(F43+G43)))</f>
        <v/>
      </c>
    </row>
    <row r="44">
      <c r="A44" s="4" t="n">
        <v>38</v>
      </c>
      <c r="B44" s="4" t="inlineStr">
        <is>
          <t>Hướng phải đi vòng chướng ngại vật sang phải</t>
        </is>
      </c>
      <c r="C44" s="6" t="n"/>
      <c r="D44" s="6" t="n"/>
      <c r="E44" s="6" t="n"/>
      <c r="F44" s="10">
        <f>IF(C44="","",IF(C44+D44=0,0,C44/(C44+D44)))</f>
        <v/>
      </c>
      <c r="G44" s="10">
        <f>IF(C44="","",IF(C44+E44=0,0,C44/(C44+E44)))</f>
        <v/>
      </c>
      <c r="H44" s="10">
        <f>IF(C44="","",IF(F44+G44=0,0,2*F44*G44/(F44+G44)))</f>
        <v/>
      </c>
    </row>
    <row r="45">
      <c r="A45" s="4" t="n">
        <v>39</v>
      </c>
      <c r="B45" s="4" t="inlineStr">
        <is>
          <t>Hướng phải đi vòng chướng ngại vật sang trái</t>
        </is>
      </c>
      <c r="C45" s="6" t="n"/>
      <c r="D45" s="6" t="n"/>
      <c r="E45" s="6" t="n"/>
      <c r="F45" s="10">
        <f>IF(C45="","",IF(C45+D45=0,0,C45/(C45+D45)))</f>
        <v/>
      </c>
      <c r="G45" s="10">
        <f>IF(C45="","",IF(C45+E45=0,0,C45/(C45+E45)))</f>
        <v/>
      </c>
      <c r="H45" s="10">
        <f>IF(C45="","",IF(F45+G45=0,0,2*F45*G45/(F45+G45)))</f>
        <v/>
      </c>
    </row>
    <row r="46">
      <c r="A46" s="4" t="n">
        <v>40</v>
      </c>
      <c r="B46" s="4" t="inlineStr">
        <is>
          <t>Nơi giao nhau chạy theo vòng xuyến</t>
        </is>
      </c>
      <c r="C46" s="6" t="n"/>
      <c r="D46" s="6" t="n"/>
      <c r="E46" s="6" t="n"/>
      <c r="F46" s="10">
        <f>IF(C46="","",IF(C46+D46=0,0,C46/(C46+D46)))</f>
        <v/>
      </c>
      <c r="G46" s="10">
        <f>IF(C46="","",IF(C46+E46=0,0,C46/(C46+E46)))</f>
        <v/>
      </c>
      <c r="H46" s="10">
        <f>IF(C46="","",IF(F46+G46=0,0,2*F46*G46/(F46+G46)))</f>
        <v/>
      </c>
    </row>
    <row r="47">
      <c r="A47" s="4" t="n">
        <v>41</v>
      </c>
      <c r="B47" s="4" t="inlineStr">
        <is>
          <t>Hết cấm vượt</t>
        </is>
      </c>
      <c r="C47" s="6" t="n"/>
      <c r="D47" s="6" t="n"/>
      <c r="E47" s="6" t="n"/>
      <c r="F47" s="10">
        <f>IF(C47="","",IF(C47+D47=0,0,C47/(C47+D47)))</f>
        <v/>
      </c>
      <c r="G47" s="10">
        <f>IF(C47="","",IF(C47+E47=0,0,C47/(C47+E47)))</f>
        <v/>
      </c>
      <c r="H47" s="10">
        <f>IF(C47="","",IF(F47+G47=0,0,2*F47*G47/(F47+G47)))</f>
        <v/>
      </c>
    </row>
    <row r="48">
      <c r="A48" s="4" t="n">
        <v>42</v>
      </c>
      <c r="B48" s="4" t="inlineStr">
        <is>
          <t>Hết cấm xe ô tô tải vượt</t>
        </is>
      </c>
      <c r="C48" s="6" t="n"/>
      <c r="D48" s="6" t="n"/>
      <c r="E48" s="6" t="n"/>
      <c r="F48" s="10">
        <f>IF(C48="","",IF(C48+D48=0,0,C48/(C48+D48)))</f>
        <v/>
      </c>
      <c r="G48" s="10">
        <f>IF(C48="","",IF(C48+E48=0,0,C48/(C48+E48)))</f>
        <v/>
      </c>
      <c r="H48" s="10">
        <f>IF(C48="","",IF(F48+G48=0,0,2*F48*G48/(F48+G48)))</f>
        <v/>
      </c>
    </row>
    <row r="49">
      <c r="B49" s="7" t="inlineStr">
        <is>
          <t>Trung bình (Macro)</t>
        </is>
      </c>
      <c r="F49" s="11">
        <f>IFERROR(AVERAGE(F6:F48),"")</f>
        <v/>
      </c>
      <c r="G49" s="11">
        <f>IFERROR(AVERAGE(G6:G48),"")</f>
        <v/>
      </c>
      <c r="H49" s="11">
        <f>IFERROR(AVERAGE(H6:H48),"")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2026-10-19T15:59:51Z</dcterms:created>
  <dcterms:modified xmlns:dcterms="http://purl.org/dc/terms/" xmlns:xsi="http://www.w3.org/2001/XMLSchema-instance" xsi:type="dcterms:W3CDTF">2026-10-19T16:00:13Z</dcterms:modified>
</cp:coreProperties>
</file>